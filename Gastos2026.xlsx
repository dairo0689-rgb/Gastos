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webextensions/webextension1.xml" ContentType="application/vnd.ms-office.webextension+xml"/>
  <Override PartName="/xl/drawings/drawing6.xml" ContentType="application/vnd.openxmlformats-officedocument.drawing+xml"/>
  <Override PartName="/xl/webextensions/webextension2.xml" ContentType="application/vnd.ms-office.webextension+xml"/>
  <Override PartName="/xl/drawings/drawing7.xml" ContentType="application/vnd.openxmlformats-officedocument.drawing+xml"/>
  <Override PartName="/xl/webextensions/webextension3.xml" ContentType="application/vnd.ms-office.webextension+xml"/>
  <Override PartName="/xl/drawings/drawing8.xml" ContentType="application/vnd.openxmlformats-officedocument.drawing+xml"/>
  <Override PartName="/xl/webextensions/webextension4.xml" ContentType="application/vnd.ms-office.webextension+xml"/>
  <Override PartName="/xl/drawings/drawing9.xml" ContentType="application/vnd.openxmlformats-officedocument.drawing+xml"/>
  <Override PartName="/xl/webextensions/webextension5.xml" ContentType="application/vnd.ms-office.webextension+xml"/>
  <Override PartName="/xl/drawings/drawing10.xml" ContentType="application/vnd.openxmlformats-officedocument.drawing+xml"/>
  <Override PartName="/xl/webextensions/webextension6.xml" ContentType="application/vnd.ms-office.webextensi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326ACAAEFB39D795/"/>
    </mc:Choice>
  </mc:AlternateContent>
  <xr:revisionPtr revIDLastSave="0" documentId="8_{F4DAD6B4-12D4-0741-8915-DC98A5BEB253}" xr6:coauthVersionLast="47" xr6:coauthVersionMax="47" xr10:uidLastSave="{00000000-0000-0000-0000-000000000000}"/>
  <bookViews>
    <workbookView xWindow="-120" yWindow="-120" windowWidth="29040" windowHeight="16440" firstSheet="6" activeTab="2" xr2:uid="{00000000-000D-0000-FFFF-FFFF00000000}"/>
  </bookViews>
  <sheets>
    <sheet name="ENERO" sheetId="1" r:id="rId1"/>
    <sheet name="FEBRERO" sheetId="9" r:id="rId2"/>
    <sheet name="MARZO" sheetId="13" r:id="rId3"/>
    <sheet name="ABRIL" sheetId="14" r:id="rId4"/>
    <sheet name="MAYO" sheetId="15" r:id="rId5"/>
    <sheet name="JUNIO" sheetId="16" r:id="rId6"/>
    <sheet name="JULIO" sheetId="20" r:id="rId7"/>
    <sheet name="AGOSTO" sheetId="21" r:id="rId8"/>
    <sheet name="SEPTIEMBRE" sheetId="26" r:id="rId9"/>
    <sheet name="OCTUBRE" sheetId="27" r:id="rId10"/>
    <sheet name="NOVIEMBRE" sheetId="28" r:id="rId11"/>
    <sheet name="DICIEMBRE" sheetId="29" r:id="rId12"/>
    <sheet name="SERVICIOS" sheetId="12" r:id="rId13"/>
    <sheet name="DEUDAS" sheetId="8" r:id="rId14"/>
  </sheets>
  <definedNames>
    <definedName name="_xlnm._FilterDatabase" localSheetId="7" hidden="1">AGOSTO!$A$1:$F$16</definedName>
    <definedName name="_xlnm._FilterDatabase" localSheetId="11" hidden="1">DICIEMBRE!$A$1:$F$16</definedName>
    <definedName name="_xlnm._FilterDatabase" localSheetId="6" hidden="1">JULIO!$A$1:$F$16</definedName>
    <definedName name="_xlnm._FilterDatabase" localSheetId="5" hidden="1">JUNIO!$A$1:$F$16</definedName>
    <definedName name="_xlnm._FilterDatabase" localSheetId="10" hidden="1">NOVIEMBRE!$A$1:$F$16</definedName>
    <definedName name="_xlnm._FilterDatabase" localSheetId="9" hidden="1">OCTUBRE!$A$1:$F$16</definedName>
    <definedName name="_xlnm._FilterDatabase" localSheetId="8" hidden="1">SEPTIEMBRE!$A$1:$F$16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3" l="1"/>
  <c r="Y6" i="13"/>
  <c r="Y5" i="13"/>
  <c r="Y4" i="13"/>
  <c r="Y3" i="13"/>
  <c r="AA3" i="13"/>
  <c r="Y2" i="13"/>
  <c r="AA2" i="13"/>
  <c r="I29" i="8"/>
  <c r="O43" i="13"/>
  <c r="H45" i="13"/>
  <c r="E44" i="13"/>
  <c r="L45" i="13"/>
  <c r="D19" i="13"/>
  <c r="B19" i="13"/>
  <c r="D19" i="9"/>
  <c r="B19" i="9"/>
  <c r="M8" i="1"/>
  <c r="H21" i="1"/>
  <c r="M27" i="8"/>
  <c r="L18" i="1"/>
  <c r="F18" i="28"/>
  <c r="E18" i="28"/>
  <c r="J52" i="28"/>
  <c r="B48" i="26"/>
  <c r="H48" i="29"/>
  <c r="O44" i="29"/>
  <c r="H50" i="29"/>
  <c r="B46" i="29"/>
  <c r="T44" i="29"/>
  <c r="T30" i="29"/>
  <c r="E18" i="29"/>
  <c r="B18" i="29"/>
  <c r="P15" i="29"/>
  <c r="H48" i="28"/>
  <c r="O44" i="28"/>
  <c r="T44" i="28"/>
  <c r="T30" i="28"/>
  <c r="B18" i="28"/>
  <c r="P15" i="28"/>
  <c r="H48" i="27"/>
  <c r="O44" i="27"/>
  <c r="H50" i="27"/>
  <c r="B46" i="27"/>
  <c r="T44" i="27"/>
  <c r="T30" i="27"/>
  <c r="E18" i="27"/>
  <c r="B18" i="27"/>
  <c r="P15" i="27"/>
  <c r="H48" i="26"/>
  <c r="O44" i="26"/>
  <c r="H50" i="26"/>
  <c r="T30" i="26"/>
  <c r="T44" i="26"/>
  <c r="E18" i="26"/>
  <c r="B18" i="26"/>
  <c r="P15" i="26"/>
  <c r="O47" i="21"/>
  <c r="H47" i="21"/>
  <c r="H50" i="21"/>
  <c r="B47" i="21"/>
  <c r="T30" i="21"/>
  <c r="T44" i="21"/>
  <c r="E18" i="21"/>
  <c r="B18" i="21"/>
  <c r="P15" i="21"/>
  <c r="O47" i="20"/>
  <c r="H47" i="20"/>
  <c r="B47" i="20"/>
  <c r="T30" i="20"/>
  <c r="T44" i="20"/>
  <c r="E18" i="20"/>
  <c r="B18" i="20"/>
  <c r="P15" i="20"/>
  <c r="B46" i="16"/>
  <c r="E18" i="16"/>
  <c r="B18" i="16"/>
  <c r="H48" i="16"/>
  <c r="O44" i="16"/>
  <c r="H50" i="16"/>
  <c r="E15" i="15"/>
  <c r="T44" i="16"/>
  <c r="T30" i="16"/>
  <c r="P15" i="16"/>
  <c r="O43" i="14"/>
  <c r="O48" i="14"/>
  <c r="H43" i="14"/>
  <c r="H48" i="14"/>
  <c r="B55" i="14"/>
  <c r="H27" i="8"/>
  <c r="H45" i="15"/>
  <c r="B44" i="15"/>
  <c r="O43" i="15"/>
  <c r="T29" i="15"/>
  <c r="B15" i="15"/>
  <c r="B17" i="15"/>
  <c r="P14" i="15"/>
  <c r="B44" i="14"/>
  <c r="T43" i="14"/>
  <c r="T29" i="14"/>
  <c r="B15" i="14"/>
  <c r="B17" i="14"/>
  <c r="E15" i="14"/>
  <c r="P14" i="14"/>
  <c r="T43" i="13"/>
  <c r="T29" i="13"/>
  <c r="B44" i="13"/>
  <c r="H49" i="13"/>
  <c r="P14" i="13"/>
  <c r="H43" i="9"/>
  <c r="O43" i="9"/>
  <c r="H49" i="9"/>
  <c r="T43" i="9"/>
  <c r="B41" i="9"/>
  <c r="T29" i="9"/>
  <c r="P14" i="9"/>
  <c r="O47" i="1"/>
  <c r="T47" i="1"/>
  <c r="B25" i="1"/>
  <c r="H47" i="1"/>
  <c r="H55" i="1"/>
  <c r="E19" i="1"/>
  <c r="H53" i="1"/>
  <c r="B45" i="1"/>
  <c r="B19" i="1"/>
  <c r="H49" i="15"/>
  <c r="T43" i="15"/>
  <c r="H50" i="28"/>
</calcChain>
</file>

<file path=xl/sharedStrings.xml><?xml version="1.0" encoding="utf-8"?>
<sst xmlns="http://schemas.openxmlformats.org/spreadsheetml/2006/main" count="738" uniqueCount="136">
  <si>
    <t>GASTOS</t>
  </si>
  <si>
    <t>VALOR</t>
  </si>
  <si>
    <t>FECHA</t>
  </si>
  <si>
    <t>ESTADO</t>
  </si>
  <si>
    <t>OBS</t>
  </si>
  <si>
    <t>Celular</t>
  </si>
  <si>
    <t>PAGADO</t>
  </si>
  <si>
    <t>MERCADO</t>
  </si>
  <si>
    <t>Mauro</t>
  </si>
  <si>
    <t>Credito</t>
  </si>
  <si>
    <t>Servicios</t>
  </si>
  <si>
    <t>Mercado</t>
  </si>
  <si>
    <t>Crédito móvil</t>
  </si>
  <si>
    <t>Linda</t>
  </si>
  <si>
    <t xml:space="preserve">Interés Mami </t>
  </si>
  <si>
    <t>Lorelei</t>
  </si>
  <si>
    <t>Maxi</t>
  </si>
  <si>
    <t>CX</t>
  </si>
  <si>
    <t>Tarjeta</t>
  </si>
  <si>
    <t>Gasolina</t>
  </si>
  <si>
    <t>DAIRO</t>
  </si>
  <si>
    <t>Obs</t>
  </si>
  <si>
    <t>LINDA</t>
  </si>
  <si>
    <t>TARJETA MES DICIEMBRE</t>
  </si>
  <si>
    <t>GASTO</t>
  </si>
  <si>
    <t>CUOTAS</t>
  </si>
  <si>
    <t>Dairo</t>
  </si>
  <si>
    <t>Total a pagar</t>
  </si>
  <si>
    <t xml:space="preserve"> Cruzar con tarjeta</t>
  </si>
  <si>
    <t>Cadena, fondo</t>
  </si>
  <si>
    <t>TARJETA MES MARZO</t>
  </si>
  <si>
    <t>Agua</t>
  </si>
  <si>
    <t xml:space="preserve">Total a pagar </t>
  </si>
  <si>
    <t>Avance 750</t>
  </si>
  <si>
    <t>Reponer</t>
  </si>
  <si>
    <t>Cadena, Bolsillo</t>
  </si>
  <si>
    <t>keratina</t>
  </si>
  <si>
    <t>Cumple</t>
  </si>
  <si>
    <t>ETB</t>
  </si>
  <si>
    <t>Semestre</t>
  </si>
  <si>
    <t>Total</t>
  </si>
  <si>
    <t>SERVICIO</t>
  </si>
  <si>
    <t xml:space="preserve">FECHA </t>
  </si>
  <si>
    <t>Energía</t>
  </si>
  <si>
    <t>3379846 6</t>
  </si>
  <si>
    <t>Gas</t>
  </si>
  <si>
    <t>Claro</t>
  </si>
  <si>
    <t>CRÉDITO</t>
  </si>
  <si>
    <t xml:space="preserve">VALOR </t>
  </si>
  <si>
    <t xml:space="preserve">CUOTA </t>
  </si>
  <si>
    <t>Cuotas pendientes</t>
  </si>
  <si>
    <t>MES</t>
  </si>
  <si>
    <t>Fijo</t>
  </si>
  <si>
    <t>53 de 105</t>
  </si>
  <si>
    <t>Móvil</t>
  </si>
  <si>
    <t>31 de 36</t>
  </si>
  <si>
    <t>Mami</t>
  </si>
  <si>
    <t>Gas pagado</t>
  </si>
  <si>
    <t>Pagado Julio</t>
  </si>
  <si>
    <t>Superme</t>
  </si>
  <si>
    <t>Camarón</t>
  </si>
  <si>
    <t>Agua, tibana</t>
  </si>
  <si>
    <t>TARJETA MES SEPTIEMBRE</t>
  </si>
  <si>
    <t xml:space="preserve">Agua pagada </t>
  </si>
  <si>
    <t>Para Dic</t>
  </si>
  <si>
    <t xml:space="preserve"> </t>
  </si>
  <si>
    <t>Pagado</t>
  </si>
  <si>
    <t>24 Ene 26</t>
  </si>
  <si>
    <t xml:space="preserve">Etb </t>
  </si>
  <si>
    <t xml:space="preserve">Uniformes </t>
  </si>
  <si>
    <t>Rog ally</t>
  </si>
  <si>
    <t>28/36</t>
  </si>
  <si>
    <t>Osmo 5</t>
  </si>
  <si>
    <t>20/24</t>
  </si>
  <si>
    <t>Chevignon</t>
  </si>
  <si>
    <t>34/36</t>
  </si>
  <si>
    <t>Avianca</t>
  </si>
  <si>
    <t>23/24</t>
  </si>
  <si>
    <t>PUJ</t>
  </si>
  <si>
    <t>Mantto cx</t>
  </si>
  <si>
    <t>05 ene 26</t>
  </si>
  <si>
    <t>16 ene 26</t>
  </si>
  <si>
    <t>Todo riesgo</t>
  </si>
  <si>
    <t>22 ene 26</t>
  </si>
  <si>
    <t>27 ago 25</t>
  </si>
  <si>
    <t>04 Dic 25</t>
  </si>
  <si>
    <t>05 Dic 25</t>
  </si>
  <si>
    <t>Ahorro</t>
  </si>
  <si>
    <t xml:space="preserve">Linda </t>
  </si>
  <si>
    <t>Ene</t>
  </si>
  <si>
    <t>Enero</t>
  </si>
  <si>
    <t>24 ene</t>
  </si>
  <si>
    <t>Nequi</t>
  </si>
  <si>
    <t>Santiago</t>
  </si>
  <si>
    <t>24 Ene</t>
  </si>
  <si>
    <t>En Nequi</t>
  </si>
  <si>
    <t>22 Ene</t>
  </si>
  <si>
    <t>Bono</t>
  </si>
  <si>
    <t>28 Ene 26</t>
  </si>
  <si>
    <t>25 Ene 26</t>
  </si>
  <si>
    <t>Temu</t>
  </si>
  <si>
    <t xml:space="preserve">Agua </t>
  </si>
  <si>
    <t>29 Ene</t>
  </si>
  <si>
    <t>Botas</t>
  </si>
  <si>
    <t>Soat</t>
  </si>
  <si>
    <t>Todo Riesgo</t>
  </si>
  <si>
    <t>Crepes</t>
  </si>
  <si>
    <t>Exito</t>
  </si>
  <si>
    <t>Fruver</t>
  </si>
  <si>
    <t>D1</t>
  </si>
  <si>
    <t>Carne</t>
  </si>
  <si>
    <t>Feb</t>
  </si>
  <si>
    <t>Seguros falabella</t>
  </si>
  <si>
    <t>Ss</t>
  </si>
  <si>
    <t>Keyboard</t>
  </si>
  <si>
    <t>Debito</t>
  </si>
  <si>
    <t>Tc</t>
  </si>
  <si>
    <t>Guantes</t>
  </si>
  <si>
    <t>temu</t>
  </si>
  <si>
    <t>Guantes mech</t>
  </si>
  <si>
    <t>Teclado Dairo</t>
  </si>
  <si>
    <t>Teclado Linda</t>
  </si>
  <si>
    <t>Fondo</t>
  </si>
  <si>
    <t>Nd</t>
  </si>
  <si>
    <t>Flash</t>
  </si>
  <si>
    <t>Mar</t>
  </si>
  <si>
    <t>Deuda</t>
  </si>
  <si>
    <t>Interes</t>
  </si>
  <si>
    <t>Cuota</t>
  </si>
  <si>
    <t>Resort</t>
  </si>
  <si>
    <t>Saldo pendiente</t>
  </si>
  <si>
    <t>C/U</t>
  </si>
  <si>
    <t>Compartida</t>
  </si>
  <si>
    <t>Amazon</t>
  </si>
  <si>
    <t>Rog</t>
  </si>
  <si>
    <t>05 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</si>
</sst>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\ #,##0.00;[Red]\-&quot;$&quot;\ #,##0.00"/>
    <numFmt numFmtId="43" formatCode="_-* #,##0.00_-;\-* #,##0.00_-;_-* &quot;-&quot;??_-;_-@_-"/>
    <numFmt numFmtId="164" formatCode="[$$-240A]\ #,##0.000"/>
    <numFmt numFmtId="165" formatCode="dd\-mm\-yy;@"/>
    <numFmt numFmtId="166" formatCode="&quot;$&quot;\ #,##0.000;[Red]\-&quot;$&quot;\ #,##0.000"/>
    <numFmt numFmtId="167" formatCode="_([$$-409]* #,##0.000_);_([$$-409]* \(#,##0.000\);_([$$-409]* &quot;-&quot;??_);_(@_)"/>
    <numFmt numFmtId="168" formatCode="&quot;$&quot;#,##0.000"/>
    <numFmt numFmtId="169" formatCode="[$-409]d\-mmm\-yy;@"/>
    <numFmt numFmtId="170" formatCode="yyyy\-mm\-dd;@"/>
    <numFmt numFmtId="171" formatCode="&quot;$&quot;\ #,##0.000"/>
    <numFmt numFmtId="172" formatCode="[$-240A]d&quot; de &quot;mmmm&quot; de &quot;yyyy;@"/>
    <numFmt numFmtId="173" formatCode="[$-C0A]d\-mmm\-yy;@"/>
    <numFmt numFmtId="174" formatCode="[$$-409]#,##0.00"/>
    <numFmt numFmtId="175" formatCode="[$$-409]#,##0.000"/>
    <numFmt numFmtId="176" formatCode="[$$-240A]\ #,##0"/>
    <numFmt numFmtId="177" formatCode="#,##0.0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Calibri"/>
    </font>
    <font>
      <sz val="11"/>
      <color theme="1"/>
      <name val="Aptos Narrow"/>
      <family val="2"/>
      <scheme val="minor"/>
    </font>
    <font>
      <b/>
      <sz val="12"/>
      <color rgb="FF000000"/>
      <name val="Roboto Condensed"/>
      <family val="34"/>
    </font>
    <font>
      <sz val="11"/>
      <color theme="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4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rgb="FF505050"/>
      </right>
      <top style="medium">
        <color theme="1"/>
      </top>
      <bottom/>
      <diagonal/>
    </border>
    <border>
      <left style="thin">
        <color rgb="FF505050"/>
      </left>
      <right style="thin">
        <color rgb="FF505050"/>
      </right>
      <top style="medium">
        <color theme="1"/>
      </top>
      <bottom/>
      <diagonal/>
    </border>
    <border>
      <left style="thin">
        <color rgb="FF505050"/>
      </left>
      <right/>
      <top style="medium">
        <color theme="1"/>
      </top>
      <bottom/>
      <diagonal/>
    </border>
    <border>
      <left style="thin">
        <color theme="0" tint="-0.249977111117893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 style="thin">
        <color theme="0" tint="-9.9978637043366805E-2"/>
      </left>
      <right style="thin">
        <color theme="0" tint="-9.9978637043366805E-2"/>
      </right>
      <top style="thin">
        <color theme="0" tint="-9.9978637043366805E-2"/>
      </top>
      <bottom style="thin">
        <color theme="0" tint="-9.9978637043366805E-2"/>
      </bottom>
      <diagonal/>
    </border>
    <border>
      <left style="medium">
        <color theme="1"/>
      </left>
      <right/>
      <top style="medium">
        <color theme="1"/>
      </top>
      <bottom style="thin">
        <color rgb="FF505050"/>
      </bottom>
      <diagonal/>
    </border>
    <border>
      <left/>
      <right/>
      <top style="medium">
        <color theme="1"/>
      </top>
      <bottom style="thin">
        <color rgb="FF505050"/>
      </bottom>
      <diagonal/>
    </border>
    <border>
      <left/>
      <right style="medium">
        <color theme="1"/>
      </right>
      <top style="medium">
        <color theme="1"/>
      </top>
      <bottom style="thin">
        <color rgb="FF505050"/>
      </bottom>
      <diagonal/>
    </border>
    <border>
      <left style="medium">
        <color theme="1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theme="1"/>
      </right>
      <top/>
      <bottom/>
      <diagonal/>
    </border>
    <border>
      <left style="medium">
        <color theme="1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medium">
        <color theme="1"/>
      </right>
      <top style="thin">
        <color rgb="FF505050"/>
      </top>
      <bottom style="thin">
        <color rgb="FF505050"/>
      </bottom>
      <diagonal/>
    </border>
    <border>
      <left style="medium">
        <color theme="1"/>
      </left>
      <right style="thin">
        <color rgb="FF505050"/>
      </right>
      <top style="thin">
        <color rgb="FF505050"/>
      </top>
      <bottom style="medium">
        <color theme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theme="1"/>
      </bottom>
      <diagonal/>
    </border>
    <border>
      <left style="thin">
        <color rgb="FF505050"/>
      </left>
      <right/>
      <top style="thin">
        <color rgb="FF505050"/>
      </top>
      <bottom style="medium">
        <color theme="1"/>
      </bottom>
      <diagonal/>
    </border>
    <border>
      <left style="thin">
        <color rgb="FF505050"/>
      </left>
      <right style="medium">
        <color theme="1"/>
      </right>
      <top style="thin">
        <color rgb="FF505050"/>
      </top>
      <bottom style="medium">
        <color theme="1"/>
      </bottom>
      <diagonal/>
    </border>
    <border>
      <left/>
      <right/>
      <top style="thin">
        <color theme="0" tint="-9.9978637043366805E-2"/>
      </top>
      <bottom style="thin">
        <color theme="0" tint="-9.9978637043366805E-2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/>
      <right style="thin">
        <color theme="0" tint="-9.9978637043366805E-2"/>
      </right>
      <top style="thin">
        <color theme="0" tint="-9.9978637043366805E-2"/>
      </top>
      <bottom style="thin">
        <color theme="0" tint="-9.9978637043366805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/>
      <top style="medium">
        <color rgb="FF505050"/>
      </top>
      <bottom/>
      <diagonal/>
    </border>
    <border>
      <left style="thin">
        <color theme="0" tint="-0.249977111117893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50505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505050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/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505050"/>
      </right>
      <top style="medium">
        <color rgb="FF00000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000000"/>
      </top>
      <bottom style="thin">
        <color rgb="FF505050"/>
      </bottom>
      <diagonal/>
    </border>
    <border>
      <left style="thin">
        <color rgb="FF505050"/>
      </left>
      <right style="medium">
        <color rgb="FF000000"/>
      </right>
      <top style="medium">
        <color rgb="FF000000"/>
      </top>
      <bottom style="thin">
        <color rgb="FF505050"/>
      </bottom>
      <diagonal/>
    </border>
    <border>
      <left style="medium">
        <color rgb="FF00000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00000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000000"/>
      </right>
      <top style="thin">
        <color rgb="FF50505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rgb="FF000000"/>
      </right>
      <top/>
      <bottom style="thin">
        <color rgb="FF50505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rgb="FF000000"/>
      </right>
      <top style="thin">
        <color theme="1"/>
      </top>
      <bottom/>
      <diagonal/>
    </border>
    <border>
      <left style="medium">
        <color rgb="FF505050"/>
      </left>
      <right style="thin">
        <color theme="1"/>
      </right>
      <top style="thin">
        <color theme="1"/>
      </top>
      <bottom/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medium">
        <color rgb="FF505050"/>
      </right>
      <top style="medium">
        <color rgb="FF505050"/>
      </top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505050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505050"/>
      </bottom>
      <diagonal/>
    </border>
    <border>
      <left style="thin">
        <color indexed="64"/>
      </left>
      <right style="medium">
        <color rgb="FF505050"/>
      </right>
      <top style="thin">
        <color indexed="64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indexed="64"/>
      </right>
      <top/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medium">
        <color indexed="64"/>
      </left>
      <right style="thin">
        <color rgb="FF505050"/>
      </right>
      <top style="medium">
        <color indexed="64"/>
      </top>
      <bottom/>
      <diagonal/>
    </border>
    <border>
      <left style="thin">
        <color rgb="FF505050"/>
      </left>
      <right style="thin">
        <color rgb="FF505050"/>
      </right>
      <top style="medium">
        <color indexed="64"/>
      </top>
      <bottom/>
      <diagonal/>
    </border>
    <border>
      <left style="thin">
        <color rgb="FF505050"/>
      </left>
      <right/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rgb="FF505050"/>
      </left>
      <right/>
      <top style="thin">
        <color rgb="FF505050"/>
      </top>
      <bottom style="medium">
        <color indexed="64"/>
      </bottom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thin">
        <color theme="1"/>
      </right>
      <top style="medium">
        <color rgb="FF50505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505050"/>
      </top>
      <bottom style="thin">
        <color theme="1"/>
      </bottom>
      <diagonal/>
    </border>
    <border>
      <left style="thin">
        <color theme="1"/>
      </left>
      <right style="medium">
        <color rgb="FF505050"/>
      </right>
      <top style="medium">
        <color rgb="FF505050"/>
      </top>
      <bottom style="thin">
        <color theme="1"/>
      </bottom>
      <diagonal/>
    </border>
    <border>
      <left style="medium">
        <color rgb="FF505050"/>
      </left>
      <right style="thin">
        <color theme="1"/>
      </right>
      <top style="thin">
        <color theme="1"/>
      </top>
      <bottom style="medium">
        <color rgb="FF50505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505050"/>
      </bottom>
      <diagonal/>
    </border>
    <border>
      <left style="thin">
        <color theme="1"/>
      </left>
      <right style="medium">
        <color rgb="FF505050"/>
      </right>
      <top style="thin">
        <color theme="1"/>
      </top>
      <bottom style="medium">
        <color rgb="FF505050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729">
    <xf numFmtId="0" fontId="0" fillId="0" borderId="0" xfId="0"/>
    <xf numFmtId="0" fontId="3" fillId="0" borderId="0" xfId="0" applyFont="1" applyAlignment="1">
      <alignment wrapText="1"/>
    </xf>
    <xf numFmtId="8" fontId="3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5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5" fontId="3" fillId="8" borderId="5" xfId="0" applyNumberFormat="1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horizontal="left" vertical="center" wrapText="1"/>
    </xf>
    <xf numFmtId="8" fontId="3" fillId="0" borderId="14" xfId="0" applyNumberFormat="1" applyFont="1" applyBorder="1" applyAlignment="1">
      <alignment wrapText="1"/>
    </xf>
    <xf numFmtId="164" fontId="3" fillId="8" borderId="5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wrapText="1"/>
    </xf>
    <xf numFmtId="0" fontId="1" fillId="10" borderId="0" xfId="0" applyFont="1" applyFill="1"/>
    <xf numFmtId="164" fontId="1" fillId="10" borderId="0" xfId="0" applyNumberFormat="1" applyFont="1" applyFill="1"/>
    <xf numFmtId="0" fontId="0" fillId="0" borderId="5" xfId="0" applyBorder="1"/>
    <xf numFmtId="164" fontId="0" fillId="0" borderId="5" xfId="0" applyNumberFormat="1" applyBorder="1"/>
    <xf numFmtId="164" fontId="0" fillId="0" borderId="0" xfId="0" applyNumberFormat="1"/>
    <xf numFmtId="0" fontId="1" fillId="9" borderId="5" xfId="0" applyFont="1" applyFill="1" applyBorder="1" applyAlignment="1">
      <alignment horizontal="center" vertical="center"/>
    </xf>
    <xf numFmtId="164" fontId="1" fillId="9" borderId="5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left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" fillId="8" borderId="34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left" vertical="center" wrapText="1"/>
    </xf>
    <xf numFmtId="164" fontId="3" fillId="3" borderId="36" xfId="0" applyNumberFormat="1" applyFont="1" applyFill="1" applyBorder="1" applyAlignment="1">
      <alignment horizontal="center" vertical="center" wrapText="1"/>
    </xf>
    <xf numFmtId="15" fontId="3" fillId="3" borderId="36" xfId="0" applyNumberFormat="1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wrapText="1"/>
    </xf>
    <xf numFmtId="0" fontId="0" fillId="0" borderId="5" xfId="0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 wrapText="1"/>
    </xf>
    <xf numFmtId="164" fontId="5" fillId="3" borderId="2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8" fontId="3" fillId="8" borderId="11" xfId="0" applyNumberFormat="1" applyFont="1" applyFill="1" applyBorder="1" applyAlignment="1">
      <alignment wrapText="1"/>
    </xf>
    <xf numFmtId="167" fontId="0" fillId="0" borderId="0" xfId="0" applyNumberFormat="1"/>
    <xf numFmtId="168" fontId="0" fillId="0" borderId="0" xfId="0" applyNumberFormat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165" fontId="6" fillId="2" borderId="20" xfId="0" applyNumberFormat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3" borderId="2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wrapText="1"/>
    </xf>
    <xf numFmtId="0" fontId="5" fillId="7" borderId="10" xfId="0" applyFont="1" applyFill="1" applyBorder="1" applyAlignment="1">
      <alignment horizontal="left" vertical="center" wrapText="1"/>
    </xf>
    <xf numFmtId="164" fontId="5" fillId="7" borderId="5" xfId="0" applyNumberFormat="1" applyFont="1" applyFill="1" applyBorder="1" applyAlignment="1">
      <alignment horizontal="center" vertical="center" wrapText="1"/>
    </xf>
    <xf numFmtId="15" fontId="5" fillId="7" borderId="5" xfId="0" applyNumberFormat="1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left" vertical="center" wrapText="1"/>
    </xf>
    <xf numFmtId="164" fontId="5" fillId="8" borderId="5" xfId="0" applyNumberFormat="1" applyFont="1" applyFill="1" applyBorder="1" applyAlignment="1">
      <alignment horizontal="center" vertical="center" wrapText="1"/>
    </xf>
    <xf numFmtId="15" fontId="5" fillId="8" borderId="5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5" fontId="5" fillId="3" borderId="1" xfId="0" applyNumberFormat="1" applyFont="1" applyFill="1" applyBorder="1" applyAlignment="1">
      <alignment horizontal="center" vertical="center" wrapText="1"/>
    </xf>
    <xf numFmtId="8" fontId="5" fillId="8" borderId="11" xfId="0" applyNumberFormat="1" applyFont="1" applyFill="1" applyBorder="1" applyAlignment="1">
      <alignment wrapText="1"/>
    </xf>
    <xf numFmtId="164" fontId="5" fillId="0" borderId="0" xfId="0" applyNumberFormat="1" applyFont="1" applyAlignment="1">
      <alignment wrapText="1"/>
    </xf>
    <xf numFmtId="0" fontId="5" fillId="3" borderId="39" xfId="0" applyFont="1" applyFill="1" applyBorder="1" applyAlignment="1">
      <alignment horizontal="center" vertical="center" wrapText="1"/>
    </xf>
    <xf numFmtId="8" fontId="5" fillId="0" borderId="0" xfId="0" applyNumberFormat="1" applyFont="1" applyAlignment="1">
      <alignment wrapText="1"/>
    </xf>
    <xf numFmtId="164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64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8" fontId="5" fillId="0" borderId="14" xfId="0" applyNumberFormat="1" applyFont="1" applyBorder="1" applyAlignment="1">
      <alignment wrapText="1"/>
    </xf>
    <xf numFmtId="166" fontId="5" fillId="0" borderId="0" xfId="0" applyNumberFormat="1" applyFont="1" applyAlignment="1">
      <alignment wrapText="1"/>
    </xf>
    <xf numFmtId="164" fontId="5" fillId="8" borderId="24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0" fillId="0" borderId="22" xfId="0" applyBorder="1"/>
    <xf numFmtId="0" fontId="0" fillId="0" borderId="41" xfId="0" applyBorder="1"/>
    <xf numFmtId="0" fontId="5" fillId="3" borderId="23" xfId="0" applyFont="1" applyFill="1" applyBorder="1" applyAlignment="1">
      <alignment horizontal="left" vertical="center" wrapText="1"/>
    </xf>
    <xf numFmtId="15" fontId="5" fillId="3" borderId="24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42" xfId="0" applyBorder="1"/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5" fontId="0" fillId="0" borderId="1" xfId="0" applyNumberFormat="1" applyBorder="1"/>
    <xf numFmtId="0" fontId="6" fillId="2" borderId="19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8" borderId="24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0" fontId="5" fillId="3" borderId="24" xfId="0" applyFont="1" applyFill="1" applyBorder="1" applyAlignment="1">
      <alignment vertical="center" wrapText="1"/>
    </xf>
    <xf numFmtId="0" fontId="5" fillId="8" borderId="41" xfId="0" applyFont="1" applyFill="1" applyBorder="1" applyAlignment="1">
      <alignment horizontal="center" wrapText="1"/>
    </xf>
    <xf numFmtId="0" fontId="5" fillId="3" borderId="4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5" fillId="3" borderId="1" xfId="0" applyNumberFormat="1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169" fontId="5" fillId="8" borderId="2" xfId="0" applyNumberFormat="1" applyFont="1" applyFill="1" applyBorder="1" applyAlignment="1">
      <alignment horizontal="center" vertical="center" wrapText="1"/>
    </xf>
    <xf numFmtId="169" fontId="5" fillId="8" borderId="25" xfId="0" applyNumberFormat="1" applyFont="1" applyFill="1" applyBorder="1" applyAlignment="1">
      <alignment horizontal="center" vertical="center" wrapText="1"/>
    </xf>
    <xf numFmtId="0" fontId="5" fillId="8" borderId="22" xfId="0" applyFont="1" applyFill="1" applyBorder="1" applyAlignment="1">
      <alignment horizontal="left" vertical="center" wrapText="1"/>
    </xf>
    <xf numFmtId="164" fontId="5" fillId="8" borderId="1" xfId="0" applyNumberFormat="1" applyFont="1" applyFill="1" applyBorder="1" applyAlignment="1">
      <alignment horizontal="center" wrapText="1"/>
    </xf>
    <xf numFmtId="15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43" xfId="0" applyFont="1" applyFill="1" applyBorder="1" applyAlignment="1">
      <alignment horizontal="left" vertical="center" wrapText="1"/>
    </xf>
    <xf numFmtId="164" fontId="5" fillId="3" borderId="44" xfId="0" applyNumberFormat="1" applyFont="1" applyFill="1" applyBorder="1" applyAlignment="1">
      <alignment horizontal="center" vertical="center" wrapText="1"/>
    </xf>
    <xf numFmtId="15" fontId="5" fillId="3" borderId="44" xfId="0" applyNumberFormat="1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vertical="center" wrapText="1"/>
    </xf>
    <xf numFmtId="0" fontId="5" fillId="0" borderId="41" xfId="0" applyFont="1" applyBorder="1" applyAlignment="1">
      <alignment horizontal="center" vertical="center" wrapText="1"/>
    </xf>
    <xf numFmtId="15" fontId="5" fillId="0" borderId="24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vertical="center" wrapText="1"/>
    </xf>
    <xf numFmtId="0" fontId="5" fillId="0" borderId="42" xfId="0" applyFont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15" fontId="5" fillId="0" borderId="25" xfId="0" applyNumberFormat="1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8" borderId="48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164" fontId="5" fillId="11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0" fillId="0" borderId="4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12" borderId="49" xfId="0" applyFont="1" applyFill="1" applyBorder="1"/>
    <xf numFmtId="164" fontId="1" fillId="12" borderId="50" xfId="0" applyNumberFormat="1" applyFont="1" applyFill="1" applyBorder="1"/>
    <xf numFmtId="166" fontId="0" fillId="0" borderId="0" xfId="0" applyNumberFormat="1"/>
    <xf numFmtId="171" fontId="1" fillId="9" borderId="1" xfId="0" applyNumberFormat="1" applyFont="1" applyFill="1" applyBorder="1" applyAlignment="1">
      <alignment horizontal="center" vertical="center"/>
    </xf>
    <xf numFmtId="171" fontId="0" fillId="0" borderId="1" xfId="0" applyNumberFormat="1" applyBorder="1"/>
    <xf numFmtId="171" fontId="0" fillId="0" borderId="44" xfId="0" applyNumberFormat="1" applyBorder="1"/>
    <xf numFmtId="171" fontId="0" fillId="0" borderId="3" xfId="0" applyNumberFormat="1" applyBorder="1"/>
    <xf numFmtId="171" fontId="0" fillId="0" borderId="0" xfId="0" applyNumberFormat="1"/>
    <xf numFmtId="15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0" fontId="0" fillId="8" borderId="22" xfId="0" applyFill="1" applyBorder="1"/>
    <xf numFmtId="0" fontId="0" fillId="8" borderId="1" xfId="0" applyFill="1" applyBorder="1" applyAlignment="1">
      <alignment horizontal="center"/>
    </xf>
    <xf numFmtId="0" fontId="0" fillId="8" borderId="41" xfId="0" applyFill="1" applyBorder="1" applyAlignment="1">
      <alignment horizontal="center"/>
    </xf>
    <xf numFmtId="0" fontId="5" fillId="3" borderId="39" xfId="0" applyFont="1" applyFill="1" applyBorder="1" applyAlignment="1">
      <alignment horizontal="center" vertical="top" wrapText="1"/>
    </xf>
    <xf numFmtId="0" fontId="5" fillId="0" borderId="43" xfId="0" applyFont="1" applyBorder="1" applyAlignment="1">
      <alignment horizontal="left" vertical="top" wrapText="1"/>
    </xf>
    <xf numFmtId="15" fontId="5" fillId="0" borderId="44" xfId="0" applyNumberFormat="1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" fillId="3" borderId="44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44" xfId="0" applyFont="1" applyBorder="1" applyAlignment="1">
      <alignment horizontal="center" wrapText="1"/>
    </xf>
    <xf numFmtId="0" fontId="5" fillId="0" borderId="23" xfId="0" applyFont="1" applyBorder="1" applyAlignment="1">
      <alignment wrapText="1"/>
    </xf>
    <xf numFmtId="164" fontId="5" fillId="0" borderId="24" xfId="0" applyNumberFormat="1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5" fillId="0" borderId="24" xfId="0" applyFont="1" applyBorder="1" applyAlignment="1">
      <alignment horizontal="center" wrapText="1"/>
    </xf>
    <xf numFmtId="0" fontId="5" fillId="0" borderId="42" xfId="0" applyFont="1" applyBorder="1" applyAlignment="1">
      <alignment wrapText="1"/>
    </xf>
    <xf numFmtId="164" fontId="5" fillId="8" borderId="1" xfId="0" applyNumberFormat="1" applyFont="1" applyFill="1" applyBorder="1" applyAlignment="1">
      <alignment wrapText="1"/>
    </xf>
    <xf numFmtId="164" fontId="0" fillId="8" borderId="1" xfId="0" applyNumberFormat="1" applyFill="1" applyBorder="1"/>
    <xf numFmtId="164" fontId="5" fillId="3" borderId="1" xfId="0" applyNumberFormat="1" applyFont="1" applyFill="1" applyBorder="1" applyAlignment="1">
      <alignment wrapText="1"/>
    </xf>
    <xf numFmtId="164" fontId="5" fillId="3" borderId="1" xfId="0" applyNumberFormat="1" applyFont="1" applyFill="1" applyBorder="1" applyAlignment="1">
      <alignment vertical="center" wrapText="1"/>
    </xf>
    <xf numFmtId="164" fontId="5" fillId="3" borderId="44" xfId="0" applyNumberFormat="1" applyFont="1" applyFill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64" fontId="5" fillId="0" borderId="44" xfId="0" applyNumberFormat="1" applyFont="1" applyBorder="1" applyAlignment="1">
      <alignment vertical="center" wrapText="1"/>
    </xf>
    <xf numFmtId="0" fontId="6" fillId="9" borderId="54" xfId="0" applyFont="1" applyFill="1" applyBorder="1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6" fillId="8" borderId="56" xfId="0" applyFont="1" applyFill="1" applyBorder="1" applyAlignment="1">
      <alignment horizontal="center" vertical="center"/>
    </xf>
    <xf numFmtId="0" fontId="5" fillId="8" borderId="56" xfId="0" applyFont="1" applyFill="1" applyBorder="1" applyAlignment="1">
      <alignment horizontal="center" vertical="center"/>
    </xf>
    <xf numFmtId="0" fontId="5" fillId="8" borderId="55" xfId="0" applyFont="1" applyFill="1" applyBorder="1" applyAlignment="1">
      <alignment horizontal="left" vertical="center" wrapText="1"/>
    </xf>
    <xf numFmtId="0" fontId="5" fillId="8" borderId="57" xfId="0" applyFont="1" applyFill="1" applyBorder="1" applyAlignment="1">
      <alignment horizontal="center" vertical="center"/>
    </xf>
    <xf numFmtId="0" fontId="5" fillId="0" borderId="41" xfId="0" applyFont="1" applyBorder="1" applyAlignment="1">
      <alignment wrapText="1"/>
    </xf>
    <xf numFmtId="0" fontId="5" fillId="8" borderId="58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59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59" xfId="0" applyFont="1" applyBorder="1" applyAlignment="1">
      <alignment horizontal="center" wrapText="1"/>
    </xf>
    <xf numFmtId="0" fontId="5" fillId="0" borderId="25" xfId="0" applyFont="1" applyBorder="1" applyAlignment="1">
      <alignment horizontal="center" wrapText="1"/>
    </xf>
    <xf numFmtId="0" fontId="5" fillId="8" borderId="47" xfId="0" applyFont="1" applyFill="1" applyBorder="1" applyAlignment="1">
      <alignment horizontal="center" vertical="center" wrapText="1"/>
    </xf>
    <xf numFmtId="0" fontId="5" fillId="8" borderId="41" xfId="0" applyFont="1" applyFill="1" applyBorder="1" applyAlignment="1">
      <alignment horizontal="center" vertical="center"/>
    </xf>
    <xf numFmtId="164" fontId="5" fillId="8" borderId="5" xfId="0" applyNumberFormat="1" applyFont="1" applyFill="1" applyBorder="1" applyAlignment="1">
      <alignment vertical="center" wrapText="1"/>
    </xf>
    <xf numFmtId="165" fontId="6" fillId="2" borderId="53" xfId="0" applyNumberFormat="1" applyFont="1" applyFill="1" applyBorder="1" applyAlignment="1">
      <alignment horizontal="center" vertical="center" wrapText="1"/>
    </xf>
    <xf numFmtId="0" fontId="6" fillId="2" borderId="61" xfId="0" applyFont="1" applyFill="1" applyBorder="1" applyAlignment="1">
      <alignment horizontal="center" vertical="center" wrapText="1"/>
    </xf>
    <xf numFmtId="0" fontId="6" fillId="2" borderId="62" xfId="0" applyFont="1" applyFill="1" applyBorder="1" applyAlignment="1">
      <alignment horizontal="center" vertical="center" wrapText="1"/>
    </xf>
    <xf numFmtId="0" fontId="5" fillId="3" borderId="61" xfId="0" applyFont="1" applyFill="1" applyBorder="1" applyAlignment="1">
      <alignment horizontal="left" vertical="center" wrapText="1"/>
    </xf>
    <xf numFmtId="0" fontId="0" fillId="0" borderId="61" xfId="0" applyBorder="1" applyAlignment="1">
      <alignment horizontal="left" vertical="center"/>
    </xf>
    <xf numFmtId="0" fontId="5" fillId="3" borderId="18" xfId="0" applyFont="1" applyFill="1" applyBorder="1" applyAlignment="1">
      <alignment horizontal="left" vertical="center" wrapText="1"/>
    </xf>
    <xf numFmtId="0" fontId="6" fillId="2" borderId="65" xfId="0" applyFont="1" applyFill="1" applyBorder="1" applyAlignment="1">
      <alignment vertical="center" wrapText="1"/>
    </xf>
    <xf numFmtId="0" fontId="6" fillId="2" borderId="67" xfId="0" applyFont="1" applyFill="1" applyBorder="1" applyAlignment="1">
      <alignment horizontal="center" vertical="center" wrapText="1"/>
    </xf>
    <xf numFmtId="164" fontId="5" fillId="8" borderId="66" xfId="0" applyNumberFormat="1" applyFont="1" applyFill="1" applyBorder="1" applyAlignment="1">
      <alignment horizontal="center" vertical="center" wrapText="1"/>
    </xf>
    <xf numFmtId="164" fontId="5" fillId="8" borderId="68" xfId="0" applyNumberFormat="1" applyFont="1" applyFill="1" applyBorder="1" applyAlignment="1">
      <alignment horizontal="center" vertical="center" wrapText="1"/>
    </xf>
    <xf numFmtId="164" fontId="5" fillId="8" borderId="69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5" fontId="0" fillId="8" borderId="1" xfId="0" applyNumberFormat="1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2" fillId="9" borderId="5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3" fillId="8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3" fillId="8" borderId="41" xfId="0" applyFont="1" applyFill="1" applyBorder="1" applyAlignment="1">
      <alignment horizontal="center" vertical="center"/>
    </xf>
    <xf numFmtId="0" fontId="3" fillId="0" borderId="23" xfId="0" applyFont="1" applyBorder="1" applyAlignment="1">
      <alignment wrapText="1"/>
    </xf>
    <xf numFmtId="164" fontId="3" fillId="0" borderId="24" xfId="0" applyNumberFormat="1" applyFont="1" applyBorder="1" applyAlignment="1">
      <alignment wrapText="1"/>
    </xf>
    <xf numFmtId="0" fontId="3" fillId="0" borderId="42" xfId="0" applyFont="1" applyBorder="1" applyAlignment="1">
      <alignment wrapText="1"/>
    </xf>
    <xf numFmtId="0" fontId="3" fillId="0" borderId="24" xfId="0" applyFont="1" applyBorder="1" applyAlignment="1">
      <alignment wrapText="1"/>
    </xf>
    <xf numFmtId="164" fontId="0" fillId="8" borderId="3" xfId="0" applyNumberFormat="1" applyFill="1" applyBorder="1"/>
    <xf numFmtId="0" fontId="0" fillId="0" borderId="71" xfId="0" applyBorder="1"/>
    <xf numFmtId="0" fontId="0" fillId="0" borderId="72" xfId="0" applyBorder="1"/>
    <xf numFmtId="164" fontId="3" fillId="8" borderId="60" xfId="0" applyNumberFormat="1" applyFont="1" applyFill="1" applyBorder="1" applyAlignment="1">
      <alignment horizontal="center" vertical="center" wrapText="1"/>
    </xf>
    <xf numFmtId="0" fontId="0" fillId="8" borderId="60" xfId="0" applyFill="1" applyBorder="1" applyAlignment="1">
      <alignment horizontal="center"/>
    </xf>
    <xf numFmtId="0" fontId="2" fillId="2" borderId="74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165" fontId="2" fillId="2" borderId="75" xfId="0" applyNumberFormat="1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3" fillId="3" borderId="71" xfId="0" applyFont="1" applyFill="1" applyBorder="1" applyAlignment="1">
      <alignment horizontal="left" vertical="center" wrapText="1"/>
    </xf>
    <xf numFmtId="0" fontId="3" fillId="0" borderId="71" xfId="0" applyFont="1" applyBorder="1" applyAlignment="1">
      <alignment horizontal="left" vertical="center" wrapText="1"/>
    </xf>
    <xf numFmtId="164" fontId="0" fillId="8" borderId="73" xfId="0" applyNumberFormat="1" applyFill="1" applyBorder="1" applyAlignment="1">
      <alignment horizontal="center" vertical="center"/>
    </xf>
    <xf numFmtId="0" fontId="0" fillId="8" borderId="73" xfId="0" applyFill="1" applyBorder="1" applyAlignment="1">
      <alignment horizontal="center"/>
    </xf>
    <xf numFmtId="164" fontId="0" fillId="8" borderId="77" xfId="0" applyNumberFormat="1" applyFill="1" applyBorder="1" applyAlignment="1">
      <alignment horizontal="center" vertical="center"/>
    </xf>
    <xf numFmtId="0" fontId="0" fillId="0" borderId="61" xfId="0" applyBorder="1"/>
    <xf numFmtId="0" fontId="5" fillId="0" borderId="64" xfId="0" applyFont="1" applyBorder="1" applyAlignment="1">
      <alignment horizontal="left" vertical="center" wrapText="1"/>
    </xf>
    <xf numFmtId="14" fontId="5" fillId="0" borderId="0" xfId="0" applyNumberFormat="1" applyFont="1" applyAlignment="1">
      <alignment horizontal="center" vertical="center" wrapText="1"/>
    </xf>
    <xf numFmtId="173" fontId="5" fillId="8" borderId="5" xfId="0" applyNumberFormat="1" applyFont="1" applyFill="1" applyBorder="1" applyAlignment="1">
      <alignment horizontal="center" vertical="center" wrapText="1"/>
    </xf>
    <xf numFmtId="173" fontId="5" fillId="8" borderId="1" xfId="0" applyNumberFormat="1" applyFont="1" applyFill="1" applyBorder="1" applyAlignment="1">
      <alignment horizontal="center" vertical="center" wrapText="1"/>
    </xf>
    <xf numFmtId="173" fontId="5" fillId="3" borderId="1" xfId="0" applyNumberFormat="1" applyFont="1" applyFill="1" applyBorder="1" applyAlignment="1">
      <alignment horizontal="center" vertical="center" wrapText="1"/>
    </xf>
    <xf numFmtId="173" fontId="5" fillId="3" borderId="44" xfId="0" applyNumberFormat="1" applyFont="1" applyFill="1" applyBorder="1" applyAlignment="1">
      <alignment horizontal="center" vertical="center" wrapText="1"/>
    </xf>
    <xf numFmtId="173" fontId="5" fillId="0" borderId="1" xfId="0" applyNumberFormat="1" applyFont="1" applyBorder="1" applyAlignment="1">
      <alignment horizontal="center" vertical="center" wrapText="1"/>
    </xf>
    <xf numFmtId="173" fontId="5" fillId="0" borderId="44" xfId="0" applyNumberFormat="1" applyFont="1" applyBorder="1" applyAlignment="1">
      <alignment horizontal="center" vertical="center" wrapText="1"/>
    </xf>
    <xf numFmtId="173" fontId="5" fillId="0" borderId="24" xfId="0" applyNumberFormat="1" applyFont="1" applyBorder="1" applyAlignment="1">
      <alignment wrapText="1"/>
    </xf>
    <xf numFmtId="173" fontId="5" fillId="0" borderId="5" xfId="0" applyNumberFormat="1" applyFont="1" applyBorder="1" applyAlignment="1">
      <alignment horizontal="center" vertical="center" wrapText="1"/>
    </xf>
    <xf numFmtId="173" fontId="5" fillId="0" borderId="13" xfId="0" applyNumberFormat="1" applyFont="1" applyBorder="1" applyAlignment="1">
      <alignment horizontal="center" vertical="center" wrapText="1"/>
    </xf>
    <xf numFmtId="173" fontId="0" fillId="8" borderId="60" xfId="0" applyNumberFormat="1" applyFill="1" applyBorder="1" applyAlignment="1">
      <alignment horizontal="center"/>
    </xf>
    <xf numFmtId="173" fontId="0" fillId="8" borderId="73" xfId="0" applyNumberFormat="1" applyFill="1" applyBorder="1" applyAlignment="1">
      <alignment horizontal="center"/>
    </xf>
    <xf numFmtId="173" fontId="0" fillId="8" borderId="3" xfId="0" applyNumberFormat="1" applyFill="1" applyBorder="1" applyAlignment="1">
      <alignment horizontal="center"/>
    </xf>
    <xf numFmtId="173" fontId="3" fillId="8" borderId="1" xfId="0" applyNumberFormat="1" applyFont="1" applyFill="1" applyBorder="1" applyAlignment="1">
      <alignment horizontal="center" vertical="center" wrapText="1"/>
    </xf>
    <xf numFmtId="173" fontId="3" fillId="8" borderId="5" xfId="0" applyNumberFormat="1" applyFont="1" applyFill="1" applyBorder="1" applyAlignment="1">
      <alignment horizontal="center" vertical="center" wrapText="1"/>
    </xf>
    <xf numFmtId="173" fontId="3" fillId="0" borderId="24" xfId="0" applyNumberFormat="1" applyFont="1" applyBorder="1" applyAlignment="1">
      <alignment wrapText="1"/>
    </xf>
    <xf numFmtId="0" fontId="2" fillId="0" borderId="82" xfId="0" applyFont="1" applyBorder="1" applyAlignment="1">
      <alignment horizontal="center" vertical="center" wrapText="1"/>
    </xf>
    <xf numFmtId="0" fontId="0" fillId="8" borderId="88" xfId="0" applyFill="1" applyBorder="1"/>
    <xf numFmtId="0" fontId="0" fillId="8" borderId="89" xfId="0" applyFill="1" applyBorder="1" applyAlignment="1">
      <alignment horizontal="center"/>
    </xf>
    <xf numFmtId="0" fontId="0" fillId="8" borderId="82" xfId="0" applyFill="1" applyBorder="1"/>
    <xf numFmtId="0" fontId="3" fillId="8" borderId="83" xfId="0" applyFont="1" applyFill="1" applyBorder="1" applyAlignment="1">
      <alignment horizontal="center" wrapText="1"/>
    </xf>
    <xf numFmtId="0" fontId="3" fillId="0" borderId="92" xfId="0" applyFont="1" applyBorder="1" applyAlignment="1">
      <alignment wrapText="1"/>
    </xf>
    <xf numFmtId="164" fontId="3" fillId="0" borderId="93" xfId="0" applyNumberFormat="1" applyFont="1" applyBorder="1" applyAlignment="1">
      <alignment wrapText="1"/>
    </xf>
    <xf numFmtId="0" fontId="3" fillId="0" borderId="93" xfId="0" applyFont="1" applyBorder="1" applyAlignment="1">
      <alignment horizontal="center" wrapText="1"/>
    </xf>
    <xf numFmtId="0" fontId="3" fillId="0" borderId="93" xfId="0" applyFont="1" applyBorder="1" applyAlignment="1">
      <alignment wrapText="1"/>
    </xf>
    <xf numFmtId="0" fontId="3" fillId="0" borderId="94" xfId="0" applyFont="1" applyBorder="1" applyAlignment="1">
      <alignment wrapText="1"/>
    </xf>
    <xf numFmtId="0" fontId="2" fillId="9" borderId="97" xfId="0" applyFont="1" applyFill="1" applyBorder="1" applyAlignment="1">
      <alignment horizontal="center" vertical="center" wrapText="1"/>
    </xf>
    <xf numFmtId="0" fontId="2" fillId="0" borderId="98" xfId="0" applyFont="1" applyBorder="1" applyAlignment="1">
      <alignment horizontal="center" vertical="center" wrapText="1"/>
    </xf>
    <xf numFmtId="0" fontId="3" fillId="0" borderId="99" xfId="0" applyFont="1" applyBorder="1" applyAlignment="1">
      <alignment wrapText="1"/>
    </xf>
    <xf numFmtId="0" fontId="3" fillId="8" borderId="98" xfId="0" applyFont="1" applyFill="1" applyBorder="1" applyAlignment="1">
      <alignment horizontal="left" vertical="center" wrapText="1"/>
    </xf>
    <xf numFmtId="8" fontId="3" fillId="8" borderId="99" xfId="0" applyNumberFormat="1" applyFont="1" applyFill="1" applyBorder="1" applyAlignment="1">
      <alignment wrapText="1"/>
    </xf>
    <xf numFmtId="173" fontId="3" fillId="0" borderId="93" xfId="0" applyNumberFormat="1" applyFont="1" applyBorder="1" applyAlignment="1">
      <alignment wrapText="1"/>
    </xf>
    <xf numFmtId="0" fontId="1" fillId="0" borderId="0" xfId="0" applyFont="1"/>
    <xf numFmtId="172" fontId="0" fillId="8" borderId="60" xfId="1" applyNumberFormat="1" applyFont="1" applyFill="1" applyBorder="1" applyAlignment="1">
      <alignment horizontal="center"/>
    </xf>
    <xf numFmtId="0" fontId="2" fillId="0" borderId="83" xfId="0" applyFont="1" applyBorder="1" applyAlignment="1">
      <alignment horizontal="center" wrapText="1"/>
    </xf>
    <xf numFmtId="0" fontId="3" fillId="0" borderId="94" xfId="0" applyFont="1" applyBorder="1" applyAlignment="1">
      <alignment horizontal="center" wrapText="1"/>
    </xf>
    <xf numFmtId="164" fontId="3" fillId="8" borderId="1" xfId="0" applyNumberFormat="1" applyFont="1" applyFill="1" applyBorder="1" applyAlignment="1">
      <alignment vertical="center" wrapText="1"/>
    </xf>
    <xf numFmtId="173" fontId="0" fillId="8" borderId="1" xfId="0" applyNumberFormat="1" applyFill="1" applyBorder="1" applyAlignment="1">
      <alignment horizontal="center"/>
    </xf>
    <xf numFmtId="0" fontId="2" fillId="0" borderId="102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8" borderId="57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left" vertical="center" wrapText="1"/>
    </xf>
    <xf numFmtId="0" fontId="3" fillId="0" borderId="24" xfId="0" applyFont="1" applyBorder="1" applyAlignment="1">
      <alignment horizontal="center" wrapText="1"/>
    </xf>
    <xf numFmtId="164" fontId="3" fillId="8" borderId="5" xfId="0" applyNumberFormat="1" applyFont="1" applyFill="1" applyBorder="1" applyAlignment="1">
      <alignment wrapText="1"/>
    </xf>
    <xf numFmtId="164" fontId="5" fillId="8" borderId="1" xfId="0" applyNumberFormat="1" applyFont="1" applyFill="1" applyBorder="1" applyAlignment="1">
      <alignment vertical="center" wrapText="1"/>
    </xf>
    <xf numFmtId="0" fontId="9" fillId="0" borderId="0" xfId="0" applyFont="1" applyAlignment="1">
      <alignment wrapText="1"/>
    </xf>
    <xf numFmtId="164" fontId="5" fillId="8" borderId="60" xfId="0" applyNumberFormat="1" applyFont="1" applyFill="1" applyBorder="1" applyAlignment="1">
      <alignment horizontal="center" vertical="center" wrapText="1"/>
    </xf>
    <xf numFmtId="0" fontId="6" fillId="9" borderId="97" xfId="0" applyFont="1" applyFill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0" fontId="6" fillId="0" borderId="83" xfId="0" applyFont="1" applyBorder="1" applyAlignment="1">
      <alignment horizontal="center" wrapText="1"/>
    </xf>
    <xf numFmtId="0" fontId="6" fillId="0" borderId="102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8" borderId="57" xfId="0" applyFont="1" applyFill="1" applyBorder="1" applyAlignment="1">
      <alignment horizontal="center" vertical="center"/>
    </xf>
    <xf numFmtId="0" fontId="6" fillId="0" borderId="98" xfId="0" applyFont="1" applyBorder="1" applyAlignment="1">
      <alignment horizontal="center" vertical="center" wrapText="1"/>
    </xf>
    <xf numFmtId="0" fontId="5" fillId="0" borderId="99" xfId="0" applyFont="1" applyBorder="1" applyAlignment="1">
      <alignment wrapText="1"/>
    </xf>
    <xf numFmtId="0" fontId="5" fillId="8" borderId="98" xfId="0" applyFont="1" applyFill="1" applyBorder="1" applyAlignment="1">
      <alignment horizontal="left" vertical="center" wrapText="1"/>
    </xf>
    <xf numFmtId="164" fontId="5" fillId="8" borderId="5" xfId="0" applyNumberFormat="1" applyFont="1" applyFill="1" applyBorder="1" applyAlignment="1">
      <alignment wrapText="1"/>
    </xf>
    <xf numFmtId="8" fontId="5" fillId="8" borderId="99" xfId="0" applyNumberFormat="1" applyFont="1" applyFill="1" applyBorder="1" applyAlignment="1">
      <alignment wrapText="1"/>
    </xf>
    <xf numFmtId="0" fontId="5" fillId="8" borderId="83" xfId="0" applyFont="1" applyFill="1" applyBorder="1" applyAlignment="1">
      <alignment horizontal="center" wrapText="1"/>
    </xf>
    <xf numFmtId="0" fontId="3" fillId="8" borderId="60" xfId="0" applyFont="1" applyFill="1" applyBorder="1" applyAlignment="1">
      <alignment horizontal="center" vertical="center" wrapText="1"/>
    </xf>
    <xf numFmtId="0" fontId="6" fillId="2" borderId="103" xfId="0" applyFont="1" applyFill="1" applyBorder="1" applyAlignment="1">
      <alignment horizontal="center" vertical="center" wrapText="1"/>
    </xf>
    <xf numFmtId="0" fontId="6" fillId="2" borderId="104" xfId="0" applyFont="1" applyFill="1" applyBorder="1" applyAlignment="1">
      <alignment horizontal="center" vertical="center" wrapText="1"/>
    </xf>
    <xf numFmtId="165" fontId="6" fillId="2" borderId="104" xfId="0" applyNumberFormat="1" applyFont="1" applyFill="1" applyBorder="1" applyAlignment="1">
      <alignment horizontal="center" vertical="center" wrapText="1"/>
    </xf>
    <xf numFmtId="0" fontId="6" fillId="2" borderId="104" xfId="0" applyFont="1" applyFill="1" applyBorder="1" applyAlignment="1">
      <alignment vertical="center" wrapText="1"/>
    </xf>
    <xf numFmtId="0" fontId="6" fillId="2" borderId="105" xfId="0" applyFont="1" applyFill="1" applyBorder="1" applyAlignment="1">
      <alignment horizontal="center" vertical="center" wrapText="1"/>
    </xf>
    <xf numFmtId="0" fontId="0" fillId="0" borderId="106" xfId="0" applyBorder="1"/>
    <xf numFmtId="164" fontId="5" fillId="8" borderId="107" xfId="0" applyNumberFormat="1" applyFont="1" applyFill="1" applyBorder="1" applyAlignment="1">
      <alignment horizontal="center" vertical="center" wrapText="1"/>
    </xf>
    <xf numFmtId="0" fontId="5" fillId="3" borderId="106" xfId="0" applyFont="1" applyFill="1" applyBorder="1" applyAlignment="1">
      <alignment horizontal="left" vertical="center" wrapText="1"/>
    </xf>
    <xf numFmtId="0" fontId="5" fillId="0" borderId="106" xfId="0" applyFont="1" applyBorder="1" applyAlignment="1">
      <alignment horizontal="left" vertical="center" wrapText="1"/>
    </xf>
    <xf numFmtId="0" fontId="0" fillId="0" borderId="108" xfId="0" applyBorder="1"/>
    <xf numFmtId="164" fontId="0" fillId="8" borderId="109" xfId="0" applyNumberFormat="1" applyFill="1" applyBorder="1" applyAlignment="1">
      <alignment horizontal="center" vertical="center"/>
    </xf>
    <xf numFmtId="173" fontId="0" fillId="8" borderId="109" xfId="0" applyNumberFormat="1" applyFill="1" applyBorder="1" applyAlignment="1">
      <alignment horizontal="center"/>
    </xf>
    <xf numFmtId="0" fontId="0" fillId="8" borderId="109" xfId="0" applyFill="1" applyBorder="1" applyAlignment="1">
      <alignment horizontal="center"/>
    </xf>
    <xf numFmtId="164" fontId="0" fillId="8" borderId="110" xfId="0" applyNumberFormat="1" applyFill="1" applyBorder="1" applyAlignment="1">
      <alignment horizontal="center" vertical="center"/>
    </xf>
    <xf numFmtId="0" fontId="0" fillId="8" borderId="44" xfId="0" applyFill="1" applyBorder="1" applyAlignment="1">
      <alignment horizontal="center"/>
    </xf>
    <xf numFmtId="172" fontId="0" fillId="8" borderId="1" xfId="1" applyNumberFormat="1" applyFont="1" applyFill="1" applyBorder="1" applyAlignment="1">
      <alignment horizontal="center"/>
    </xf>
    <xf numFmtId="0" fontId="6" fillId="2" borderId="51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0" fillId="0" borderId="18" xfId="0" applyBorder="1"/>
    <xf numFmtId="172" fontId="0" fillId="8" borderId="19" xfId="1" applyNumberFormat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164" fontId="5" fillId="8" borderId="21" xfId="0" applyNumberFormat="1" applyFont="1" applyFill="1" applyBorder="1" applyAlignment="1">
      <alignment horizontal="center" vertical="center" wrapText="1"/>
    </xf>
    <xf numFmtId="164" fontId="5" fillId="8" borderId="41" xfId="0" applyNumberFormat="1" applyFont="1" applyFill="1" applyBorder="1" applyAlignment="1">
      <alignment horizontal="center" vertical="center" wrapText="1"/>
    </xf>
    <xf numFmtId="172" fontId="0" fillId="8" borderId="24" xfId="1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64" fontId="5" fillId="8" borderId="42" xfId="0" applyNumberFormat="1" applyFont="1" applyFill="1" applyBorder="1" applyAlignment="1">
      <alignment horizontal="center" vertical="center" wrapText="1"/>
    </xf>
    <xf numFmtId="164" fontId="5" fillId="8" borderId="60" xfId="0" applyNumberFormat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15" xfId="0" applyFont="1" applyBorder="1" applyAlignment="1">
      <alignment horizontal="center" vertical="center" wrapText="1"/>
    </xf>
    <xf numFmtId="0" fontId="6" fillId="0" borderId="116" xfId="0" applyFont="1" applyBorder="1" applyAlignment="1">
      <alignment horizontal="center" vertical="center" wrapText="1"/>
    </xf>
    <xf numFmtId="0" fontId="0" fillId="8" borderId="120" xfId="0" applyFill="1" applyBorder="1"/>
    <xf numFmtId="0" fontId="0" fillId="8" borderId="121" xfId="0" applyFill="1" applyBorder="1" applyAlignment="1">
      <alignment horizontal="center"/>
    </xf>
    <xf numFmtId="0" fontId="0" fillId="8" borderId="115" xfId="0" applyFill="1" applyBorder="1"/>
    <xf numFmtId="0" fontId="5" fillId="8" borderId="116" xfId="0" applyFont="1" applyFill="1" applyBorder="1" applyAlignment="1">
      <alignment horizontal="center" wrapText="1"/>
    </xf>
    <xf numFmtId="0" fontId="0" fillId="0" borderId="115" xfId="0" applyBorder="1"/>
    <xf numFmtId="0" fontId="5" fillId="0" borderId="115" xfId="0" applyFont="1" applyBorder="1" applyAlignment="1">
      <alignment horizontal="left" vertical="top" wrapText="1"/>
    </xf>
    <xf numFmtId="0" fontId="5" fillId="0" borderId="117" xfId="0" applyFont="1" applyBorder="1" applyAlignment="1">
      <alignment horizontal="left" vertical="top" wrapText="1"/>
    </xf>
    <xf numFmtId="0" fontId="5" fillId="0" borderId="122" xfId="0" applyFont="1" applyBorder="1" applyAlignment="1">
      <alignment horizontal="left" vertical="top" wrapText="1"/>
    </xf>
    <xf numFmtId="164" fontId="5" fillId="0" borderId="123" xfId="0" applyNumberFormat="1" applyFont="1" applyBorder="1" applyAlignment="1">
      <alignment vertical="center" wrapText="1"/>
    </xf>
    <xf numFmtId="15" fontId="5" fillId="0" borderId="123" xfId="0" applyNumberFormat="1" applyFont="1" applyBorder="1" applyAlignment="1">
      <alignment horizontal="center" vertical="center" wrapText="1"/>
    </xf>
    <xf numFmtId="0" fontId="5" fillId="0" borderId="123" xfId="0" applyFont="1" applyBorder="1" applyAlignment="1">
      <alignment horizontal="center" wrapText="1"/>
    </xf>
    <xf numFmtId="0" fontId="5" fillId="0" borderId="124" xfId="0" applyFont="1" applyBorder="1" applyAlignment="1">
      <alignment horizontal="center" vertical="center" wrapText="1"/>
    </xf>
    <xf numFmtId="164" fontId="5" fillId="11" borderId="19" xfId="0" applyNumberFormat="1" applyFont="1" applyFill="1" applyBorder="1" applyAlignment="1">
      <alignment horizontal="center" vertical="center" wrapText="1"/>
    </xf>
    <xf numFmtId="173" fontId="5" fillId="8" borderId="60" xfId="0" applyNumberFormat="1" applyFont="1" applyFill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60" xfId="0" applyFont="1" applyBorder="1" applyAlignment="1">
      <alignment vertical="center" wrapText="1"/>
    </xf>
    <xf numFmtId="164" fontId="5" fillId="0" borderId="60" xfId="0" applyNumberFormat="1" applyFont="1" applyBorder="1" applyAlignment="1">
      <alignment vertical="center" wrapText="1"/>
    </xf>
    <xf numFmtId="0" fontId="5" fillId="0" borderId="60" xfId="0" applyFont="1" applyBorder="1" applyAlignment="1">
      <alignment horizontal="center" wrapText="1"/>
    </xf>
    <xf numFmtId="0" fontId="5" fillId="0" borderId="60" xfId="0" applyFont="1" applyBorder="1" applyAlignment="1">
      <alignment wrapText="1"/>
    </xf>
    <xf numFmtId="0" fontId="6" fillId="0" borderId="71" xfId="0" applyFont="1" applyBorder="1" applyAlignment="1">
      <alignment horizontal="center" vertical="center" wrapText="1"/>
    </xf>
    <xf numFmtId="0" fontId="6" fillId="0" borderId="119" xfId="0" applyFont="1" applyBorder="1" applyAlignment="1">
      <alignment horizontal="center" vertical="center" wrapText="1"/>
    </xf>
    <xf numFmtId="0" fontId="0" fillId="8" borderId="71" xfId="0" applyFill="1" applyBorder="1"/>
    <xf numFmtId="0" fontId="0" fillId="8" borderId="119" xfId="0" applyFill="1" applyBorder="1" applyAlignment="1">
      <alignment horizontal="center"/>
    </xf>
    <xf numFmtId="0" fontId="5" fillId="8" borderId="119" xfId="0" applyFont="1" applyFill="1" applyBorder="1" applyAlignment="1">
      <alignment horizontal="center" wrapText="1"/>
    </xf>
    <xf numFmtId="0" fontId="5" fillId="0" borderId="71" xfId="0" applyFont="1" applyBorder="1" applyAlignment="1">
      <alignment horizontal="left" vertical="top" wrapText="1"/>
    </xf>
    <xf numFmtId="0" fontId="5" fillId="0" borderId="72" xfId="0" applyFont="1" applyBorder="1" applyAlignment="1">
      <alignment wrapText="1"/>
    </xf>
    <xf numFmtId="164" fontId="5" fillId="0" borderId="73" xfId="0" applyNumberFormat="1" applyFont="1" applyBorder="1" applyAlignment="1">
      <alignment wrapText="1"/>
    </xf>
    <xf numFmtId="0" fontId="5" fillId="0" borderId="73" xfId="0" applyFont="1" applyBorder="1" applyAlignment="1">
      <alignment horizontal="center" wrapText="1"/>
    </xf>
    <xf numFmtId="0" fontId="5" fillId="0" borderId="77" xfId="0" applyFont="1" applyBorder="1" applyAlignment="1">
      <alignment wrapText="1"/>
    </xf>
    <xf numFmtId="171" fontId="0" fillId="8" borderId="60" xfId="0" applyNumberFormat="1" applyFill="1" applyBorder="1"/>
    <xf numFmtId="171" fontId="5" fillId="8" borderId="60" xfId="0" applyNumberFormat="1" applyFont="1" applyFill="1" applyBorder="1" applyAlignment="1">
      <alignment wrapText="1"/>
    </xf>
    <xf numFmtId="173" fontId="5" fillId="0" borderId="60" xfId="0" applyNumberFormat="1" applyFont="1" applyBorder="1" applyAlignment="1">
      <alignment horizontal="center" vertical="center" wrapText="1"/>
    </xf>
    <xf numFmtId="0" fontId="5" fillId="0" borderId="73" xfId="0" applyFont="1" applyBorder="1" applyAlignment="1">
      <alignment wrapText="1"/>
    </xf>
    <xf numFmtId="0" fontId="5" fillId="8" borderId="60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vertical="center" wrapText="1"/>
    </xf>
    <xf numFmtId="0" fontId="6" fillId="0" borderId="75" xfId="0" applyFont="1" applyBorder="1" applyAlignment="1">
      <alignment horizontal="center" vertical="center" wrapText="1"/>
    </xf>
    <xf numFmtId="0" fontId="6" fillId="8" borderId="76" xfId="0" applyFont="1" applyFill="1" applyBorder="1" applyAlignment="1">
      <alignment horizontal="center" vertical="center"/>
    </xf>
    <xf numFmtId="0" fontId="5" fillId="8" borderId="119" xfId="0" applyFont="1" applyFill="1" applyBorder="1" applyAlignment="1">
      <alignment horizontal="center" vertical="center"/>
    </xf>
    <xf numFmtId="0" fontId="5" fillId="0" borderId="119" xfId="0" applyFont="1" applyBorder="1" applyAlignment="1">
      <alignment wrapText="1"/>
    </xf>
    <xf numFmtId="173" fontId="5" fillId="0" borderId="73" xfId="0" applyNumberFormat="1" applyFont="1" applyBorder="1" applyAlignment="1">
      <alignment wrapText="1"/>
    </xf>
    <xf numFmtId="0" fontId="0" fillId="8" borderId="126" xfId="0" applyFill="1" applyBorder="1" applyAlignment="1">
      <alignment horizontal="center"/>
    </xf>
    <xf numFmtId="164" fontId="0" fillId="8" borderId="60" xfId="0" applyNumberFormat="1" applyFill="1" applyBorder="1"/>
    <xf numFmtId="14" fontId="0" fillId="8" borderId="60" xfId="0" applyNumberFormat="1" applyFill="1" applyBorder="1" applyAlignment="1">
      <alignment horizontal="center"/>
    </xf>
    <xf numFmtId="0" fontId="6" fillId="9" borderId="130" xfId="0" applyFont="1" applyFill="1" applyBorder="1" applyAlignment="1">
      <alignment horizontal="center" vertical="center"/>
    </xf>
    <xf numFmtId="0" fontId="6" fillId="0" borderId="131" xfId="0" applyFont="1" applyBorder="1" applyAlignment="1">
      <alignment horizontal="center" vertical="center" wrapText="1"/>
    </xf>
    <xf numFmtId="0" fontId="6" fillId="8" borderId="132" xfId="0" applyFont="1" applyFill="1" applyBorder="1" applyAlignment="1">
      <alignment horizontal="center" vertical="center"/>
    </xf>
    <xf numFmtId="0" fontId="5" fillId="8" borderId="132" xfId="0" applyFont="1" applyFill="1" applyBorder="1" applyAlignment="1">
      <alignment horizontal="center" vertical="center"/>
    </xf>
    <xf numFmtId="0" fontId="5" fillId="8" borderId="133" xfId="0" applyFont="1" applyFill="1" applyBorder="1" applyAlignment="1">
      <alignment horizontal="center" vertical="center"/>
    </xf>
    <xf numFmtId="0" fontId="5" fillId="8" borderId="116" xfId="0" applyFont="1" applyFill="1" applyBorder="1" applyAlignment="1">
      <alignment horizontal="center" vertical="center"/>
    </xf>
    <xf numFmtId="0" fontId="5" fillId="3" borderId="117" xfId="0" applyFont="1" applyFill="1" applyBorder="1" applyAlignment="1">
      <alignment horizontal="left" vertical="center" wrapText="1"/>
    </xf>
    <xf numFmtId="0" fontId="5" fillId="0" borderId="116" xfId="0" applyFont="1" applyBorder="1" applyAlignment="1">
      <alignment wrapText="1"/>
    </xf>
    <xf numFmtId="0" fontId="5" fillId="0" borderId="122" xfId="0" applyFont="1" applyBorder="1" applyAlignment="1">
      <alignment wrapText="1"/>
    </xf>
    <xf numFmtId="164" fontId="5" fillId="0" borderId="123" xfId="0" applyNumberFormat="1" applyFont="1" applyBorder="1" applyAlignment="1">
      <alignment wrapText="1"/>
    </xf>
    <xf numFmtId="173" fontId="5" fillId="0" borderId="123" xfId="0" applyNumberFormat="1" applyFont="1" applyBorder="1" applyAlignment="1">
      <alignment wrapText="1"/>
    </xf>
    <xf numFmtId="0" fontId="5" fillId="0" borderId="134" xfId="0" applyFont="1" applyBorder="1" applyAlignment="1">
      <alignment horizontal="center" wrapText="1"/>
    </xf>
    <xf numFmtId="0" fontId="5" fillId="0" borderId="123" xfId="0" applyFont="1" applyBorder="1" applyAlignment="1">
      <alignment wrapText="1"/>
    </xf>
    <xf numFmtId="0" fontId="5" fillId="0" borderId="124" xfId="0" applyFont="1" applyBorder="1" applyAlignment="1">
      <alignment wrapText="1"/>
    </xf>
    <xf numFmtId="171" fontId="5" fillId="0" borderId="0" xfId="0" applyNumberFormat="1" applyFont="1" applyAlignment="1">
      <alignment horizontal="center" vertical="center" wrapText="1"/>
    </xf>
    <xf numFmtId="174" fontId="5" fillId="0" borderId="0" xfId="0" applyNumberFormat="1" applyFont="1" applyAlignment="1">
      <alignment horizontal="center" vertical="center" wrapText="1"/>
    </xf>
    <xf numFmtId="175" fontId="5" fillId="0" borderId="0" xfId="0" applyNumberFormat="1" applyFont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 wrapText="1"/>
    </xf>
    <xf numFmtId="176" fontId="0" fillId="0" borderId="0" xfId="0" applyNumberFormat="1"/>
    <xf numFmtId="177" fontId="0" fillId="0" borderId="0" xfId="0" applyNumberFormat="1"/>
    <xf numFmtId="164" fontId="5" fillId="8" borderId="19" xfId="0" applyNumberFormat="1" applyFont="1" applyFill="1" applyBorder="1" applyAlignment="1">
      <alignment horizontal="center" vertical="center" wrapText="1"/>
    </xf>
    <xf numFmtId="0" fontId="5" fillId="8" borderId="82" xfId="0" applyFont="1" applyFill="1" applyBorder="1" applyAlignment="1">
      <alignment horizontal="left" vertical="center" wrapText="1"/>
    </xf>
    <xf numFmtId="0" fontId="0" fillId="8" borderId="83" xfId="0" applyFill="1" applyBorder="1" applyAlignment="1">
      <alignment horizontal="center"/>
    </xf>
    <xf numFmtId="0" fontId="0" fillId="8" borderId="84" xfId="0" applyFill="1" applyBorder="1"/>
    <xf numFmtId="164" fontId="0" fillId="8" borderId="44" xfId="0" applyNumberFormat="1" applyFill="1" applyBorder="1"/>
    <xf numFmtId="14" fontId="0" fillId="8" borderId="1" xfId="0" applyNumberFormat="1" applyFill="1" applyBorder="1" applyAlignment="1">
      <alignment horizontal="center"/>
    </xf>
    <xf numFmtId="0" fontId="0" fillId="8" borderId="85" xfId="0" applyFill="1" applyBorder="1" applyAlignment="1">
      <alignment horizontal="center"/>
    </xf>
    <xf numFmtId="0" fontId="5" fillId="8" borderId="115" xfId="0" applyFont="1" applyFill="1" applyBorder="1" applyAlignment="1">
      <alignment horizontal="left" vertical="center" wrapText="1"/>
    </xf>
    <xf numFmtId="0" fontId="5" fillId="8" borderId="71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center" vertical="center" wrapText="1"/>
    </xf>
    <xf numFmtId="164" fontId="5" fillId="8" borderId="60" xfId="0" applyNumberFormat="1" applyFont="1" applyFill="1" applyBorder="1" applyAlignment="1">
      <alignment wrapText="1"/>
    </xf>
    <xf numFmtId="0" fontId="5" fillId="8" borderId="39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wrapText="1"/>
    </xf>
    <xf numFmtId="0" fontId="5" fillId="8" borderId="71" xfId="0" applyFont="1" applyFill="1" applyBorder="1" applyAlignment="1">
      <alignment horizontal="left" vertical="top" wrapText="1"/>
    </xf>
    <xf numFmtId="171" fontId="5" fillId="8" borderId="60" xfId="0" applyNumberFormat="1" applyFont="1" applyFill="1" applyBorder="1" applyAlignment="1">
      <alignment vertical="center" wrapText="1"/>
    </xf>
    <xf numFmtId="0" fontId="5" fillId="8" borderId="39" xfId="0" applyFont="1" applyFill="1" applyBorder="1" applyAlignment="1">
      <alignment horizontal="center" vertical="top" wrapText="1"/>
    </xf>
    <xf numFmtId="0" fontId="0" fillId="8" borderId="125" xfId="0" applyFill="1" applyBorder="1"/>
    <xf numFmtId="0" fontId="5" fillId="8" borderId="119" xfId="0" applyFont="1" applyFill="1" applyBorder="1" applyAlignment="1">
      <alignment horizontal="center" vertical="center" wrapText="1"/>
    </xf>
    <xf numFmtId="164" fontId="5" fillId="8" borderId="60" xfId="0" applyNumberFormat="1" applyFont="1" applyFill="1" applyBorder="1" applyAlignment="1">
      <alignment vertical="center" wrapText="1"/>
    </xf>
    <xf numFmtId="0" fontId="5" fillId="8" borderId="72" xfId="0" applyFont="1" applyFill="1" applyBorder="1" applyAlignment="1">
      <alignment wrapText="1"/>
    </xf>
    <xf numFmtId="171" fontId="5" fillId="8" borderId="73" xfId="0" applyNumberFormat="1" applyFont="1" applyFill="1" applyBorder="1" applyAlignment="1">
      <alignment wrapText="1"/>
    </xf>
    <xf numFmtId="173" fontId="5" fillId="8" borderId="73" xfId="0" applyNumberFormat="1" applyFont="1" applyFill="1" applyBorder="1" applyAlignment="1">
      <alignment horizontal="center" wrapText="1"/>
    </xf>
    <xf numFmtId="0" fontId="5" fillId="8" borderId="73" xfId="0" applyFont="1" applyFill="1" applyBorder="1" applyAlignment="1">
      <alignment horizontal="center" wrapText="1"/>
    </xf>
    <xf numFmtId="0" fontId="5" fillId="8" borderId="77" xfId="0" applyFont="1" applyFill="1" applyBorder="1" applyAlignment="1">
      <alignment horizontal="center" wrapText="1"/>
    </xf>
    <xf numFmtId="0" fontId="5" fillId="8" borderId="12" xfId="0" applyFont="1" applyFill="1" applyBorder="1" applyAlignment="1">
      <alignment horizontal="left" vertical="center" wrapText="1"/>
    </xf>
    <xf numFmtId="164" fontId="5" fillId="8" borderId="13" xfId="0" applyNumberFormat="1" applyFont="1" applyFill="1" applyBorder="1" applyAlignment="1">
      <alignment horizontal="center" vertical="center" wrapText="1"/>
    </xf>
    <xf numFmtId="173" fontId="5" fillId="8" borderId="13" xfId="0" applyNumberFormat="1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8" fontId="5" fillId="8" borderId="14" xfId="0" applyNumberFormat="1" applyFont="1" applyFill="1" applyBorder="1" applyAlignment="1">
      <alignment wrapText="1"/>
    </xf>
    <xf numFmtId="0" fontId="0" fillId="8" borderId="86" xfId="0" applyFill="1" applyBorder="1"/>
    <xf numFmtId="0" fontId="0" fillId="8" borderId="87" xfId="0" applyFill="1" applyBorder="1" applyAlignment="1">
      <alignment horizontal="center"/>
    </xf>
    <xf numFmtId="0" fontId="0" fillId="8" borderId="1" xfId="0" applyFill="1" applyBorder="1"/>
    <xf numFmtId="0" fontId="5" fillId="8" borderId="43" xfId="0" applyFont="1" applyFill="1" applyBorder="1" applyAlignment="1">
      <alignment horizontal="left" vertical="center" wrapText="1"/>
    </xf>
    <xf numFmtId="164" fontId="5" fillId="8" borderId="44" xfId="0" applyNumberFormat="1" applyFont="1" applyFill="1" applyBorder="1" applyAlignment="1">
      <alignment vertical="center" wrapText="1"/>
    </xf>
    <xf numFmtId="15" fontId="5" fillId="8" borderId="44" xfId="0" applyNumberFormat="1" applyFont="1" applyFill="1" applyBorder="1" applyAlignment="1">
      <alignment horizontal="center" vertical="center" wrapText="1"/>
    </xf>
    <xf numFmtId="0" fontId="5" fillId="8" borderId="44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left" vertical="top" wrapText="1"/>
    </xf>
    <xf numFmtId="0" fontId="5" fillId="8" borderId="41" xfId="0" applyFont="1" applyFill="1" applyBorder="1" applyAlignment="1">
      <alignment horizontal="center" vertical="center" wrapText="1"/>
    </xf>
    <xf numFmtId="0" fontId="5" fillId="8" borderId="43" xfId="0" applyFont="1" applyFill="1" applyBorder="1" applyAlignment="1">
      <alignment horizontal="left" vertical="top" wrapText="1"/>
    </xf>
    <xf numFmtId="0" fontId="5" fillId="8" borderId="45" xfId="0" applyFont="1" applyFill="1" applyBorder="1" applyAlignment="1">
      <alignment horizontal="center" vertical="center" wrapText="1"/>
    </xf>
    <xf numFmtId="173" fontId="5" fillId="8" borderId="44" xfId="0" applyNumberFormat="1" applyFont="1" applyFill="1" applyBorder="1" applyAlignment="1">
      <alignment horizontal="center" vertical="center" wrapText="1"/>
    </xf>
    <xf numFmtId="0" fontId="5" fillId="8" borderId="59" xfId="0" applyFont="1" applyFill="1" applyBorder="1" applyAlignment="1">
      <alignment horizontal="center" wrapText="1"/>
    </xf>
    <xf numFmtId="0" fontId="5" fillId="8" borderId="23" xfId="0" applyFont="1" applyFill="1" applyBorder="1" applyAlignment="1">
      <alignment wrapText="1"/>
    </xf>
    <xf numFmtId="164" fontId="5" fillId="8" borderId="24" xfId="0" applyNumberFormat="1" applyFont="1" applyFill="1" applyBorder="1" applyAlignment="1">
      <alignment wrapText="1"/>
    </xf>
    <xf numFmtId="0" fontId="5" fillId="8" borderId="24" xfId="0" applyFont="1" applyFill="1" applyBorder="1" applyAlignment="1">
      <alignment horizontal="center" wrapText="1"/>
    </xf>
    <xf numFmtId="0" fontId="5" fillId="8" borderId="42" xfId="0" applyFont="1" applyFill="1" applyBorder="1" applyAlignment="1">
      <alignment wrapText="1"/>
    </xf>
    <xf numFmtId="0" fontId="5" fillId="8" borderId="43" xfId="0" applyFont="1" applyFill="1" applyBorder="1" applyAlignment="1">
      <alignment wrapText="1"/>
    </xf>
    <xf numFmtId="164" fontId="5" fillId="8" borderId="44" xfId="0" applyNumberFormat="1" applyFont="1" applyFill="1" applyBorder="1" applyAlignment="1">
      <alignment wrapText="1"/>
    </xf>
    <xf numFmtId="0" fontId="0" fillId="8" borderId="116" xfId="0" applyFill="1" applyBorder="1" applyAlignment="1">
      <alignment horizontal="center"/>
    </xf>
    <xf numFmtId="0" fontId="0" fillId="8" borderId="117" xfId="0" applyFill="1" applyBorder="1"/>
    <xf numFmtId="0" fontId="0" fillId="8" borderId="118" xfId="0" applyFill="1" applyBorder="1" applyAlignment="1">
      <alignment horizontal="center"/>
    </xf>
    <xf numFmtId="0" fontId="5" fillId="8" borderId="115" xfId="0" applyFont="1" applyFill="1" applyBorder="1" applyAlignment="1">
      <alignment horizontal="left" vertical="top" wrapText="1"/>
    </xf>
    <xf numFmtId="0" fontId="5" fillId="8" borderId="116" xfId="0" applyFont="1" applyFill="1" applyBorder="1" applyAlignment="1">
      <alignment horizontal="center" vertical="center" wrapText="1"/>
    </xf>
    <xf numFmtId="0" fontId="5" fillId="8" borderId="117" xfId="0" applyFont="1" applyFill="1" applyBorder="1" applyAlignment="1">
      <alignment horizontal="left" vertical="top" wrapText="1"/>
    </xf>
    <xf numFmtId="0" fontId="5" fillId="8" borderId="118" xfId="0" applyFont="1" applyFill="1" applyBorder="1" applyAlignment="1">
      <alignment horizontal="center" vertical="center" wrapText="1"/>
    </xf>
    <xf numFmtId="0" fontId="5" fillId="8" borderId="117" xfId="0" applyFont="1" applyFill="1" applyBorder="1" applyAlignment="1">
      <alignment wrapText="1"/>
    </xf>
    <xf numFmtId="0" fontId="5" fillId="8" borderId="118" xfId="0" applyFont="1" applyFill="1" applyBorder="1" applyAlignment="1">
      <alignment horizontal="center" wrapText="1"/>
    </xf>
    <xf numFmtId="0" fontId="5" fillId="8" borderId="99" xfId="0" applyFont="1" applyFill="1" applyBorder="1" applyAlignment="1">
      <alignment wrapText="1"/>
    </xf>
    <xf numFmtId="173" fontId="0" fillId="8" borderId="44" xfId="0" applyNumberFormat="1" applyFill="1" applyBorder="1" applyAlignment="1">
      <alignment horizontal="center"/>
    </xf>
    <xf numFmtId="0" fontId="0" fillId="8" borderId="0" xfId="0" applyFill="1"/>
    <xf numFmtId="173" fontId="0" fillId="8" borderId="1" xfId="0" applyNumberFormat="1" applyFill="1" applyBorder="1"/>
    <xf numFmtId="0" fontId="5" fillId="8" borderId="84" xfId="0" applyFont="1" applyFill="1" applyBorder="1" applyAlignment="1">
      <alignment horizontal="left" vertical="center" wrapText="1"/>
    </xf>
    <xf numFmtId="0" fontId="5" fillId="8" borderId="82" xfId="0" applyFont="1" applyFill="1" applyBorder="1" applyAlignment="1">
      <alignment horizontal="left" vertical="top" wrapText="1"/>
    </xf>
    <xf numFmtId="0" fontId="5" fillId="8" borderId="84" xfId="0" applyFont="1" applyFill="1" applyBorder="1" applyAlignment="1">
      <alignment horizontal="left" vertical="top" wrapText="1"/>
    </xf>
    <xf numFmtId="0" fontId="5" fillId="8" borderId="85" xfId="0" applyFont="1" applyFill="1" applyBorder="1" applyAlignment="1">
      <alignment horizontal="center" wrapText="1"/>
    </xf>
    <xf numFmtId="0" fontId="5" fillId="8" borderId="84" xfId="0" applyFont="1" applyFill="1" applyBorder="1" applyAlignment="1">
      <alignment wrapText="1"/>
    </xf>
    <xf numFmtId="173" fontId="5" fillId="8" borderId="44" xfId="0" applyNumberFormat="1" applyFont="1" applyFill="1" applyBorder="1" applyAlignment="1">
      <alignment horizontal="center" wrapText="1"/>
    </xf>
    <xf numFmtId="0" fontId="5" fillId="8" borderId="100" xfId="0" applyFont="1" applyFill="1" applyBorder="1" applyAlignment="1">
      <alignment horizontal="left" vertical="center" wrapText="1"/>
    </xf>
    <xf numFmtId="164" fontId="5" fillId="8" borderId="47" xfId="0" applyNumberFormat="1" applyFont="1" applyFill="1" applyBorder="1" applyAlignment="1">
      <alignment wrapText="1"/>
    </xf>
    <xf numFmtId="173" fontId="5" fillId="8" borderId="47" xfId="0" applyNumberFormat="1" applyFont="1" applyFill="1" applyBorder="1" applyAlignment="1">
      <alignment horizontal="center" vertical="center" wrapText="1"/>
    </xf>
    <xf numFmtId="8" fontId="5" fillId="8" borderId="101" xfId="0" applyNumberFormat="1" applyFont="1" applyFill="1" applyBorder="1" applyAlignment="1">
      <alignment wrapText="1"/>
    </xf>
    <xf numFmtId="0" fontId="5" fillId="8" borderId="90" xfId="0" applyFont="1" applyFill="1" applyBorder="1" applyAlignment="1">
      <alignment wrapText="1"/>
    </xf>
    <xf numFmtId="0" fontId="5" fillId="8" borderId="78" xfId="0" applyFont="1" applyFill="1" applyBorder="1" applyAlignment="1">
      <alignment wrapText="1"/>
    </xf>
    <xf numFmtId="0" fontId="5" fillId="8" borderId="78" xfId="0" applyFont="1" applyFill="1" applyBorder="1" applyAlignment="1">
      <alignment horizontal="center" wrapText="1"/>
    </xf>
    <xf numFmtId="0" fontId="5" fillId="8" borderId="91" xfId="0" applyFont="1" applyFill="1" applyBorder="1" applyAlignment="1">
      <alignment horizontal="center" wrapText="1"/>
    </xf>
    <xf numFmtId="0" fontId="5" fillId="8" borderId="0" xfId="0" applyFont="1" applyFill="1" applyAlignment="1">
      <alignment wrapText="1"/>
    </xf>
    <xf numFmtId="0" fontId="5" fillId="8" borderId="1" xfId="0" applyFont="1" applyFill="1" applyBorder="1" applyAlignment="1">
      <alignment wrapText="1"/>
    </xf>
    <xf numFmtId="0" fontId="5" fillId="8" borderId="41" xfId="0" applyFont="1" applyFill="1" applyBorder="1" applyAlignment="1">
      <alignment wrapText="1"/>
    </xf>
    <xf numFmtId="166" fontId="5" fillId="8" borderId="78" xfId="0" applyNumberFormat="1" applyFont="1" applyFill="1" applyBorder="1" applyAlignment="1">
      <alignment wrapText="1"/>
    </xf>
    <xf numFmtId="173" fontId="5" fillId="8" borderId="78" xfId="0" applyNumberFormat="1" applyFont="1" applyFill="1" applyBorder="1" applyAlignment="1">
      <alignment wrapText="1"/>
    </xf>
    <xf numFmtId="0" fontId="5" fillId="8" borderId="91" xfId="0" applyFont="1" applyFill="1" applyBorder="1" applyAlignment="1">
      <alignment wrapText="1"/>
    </xf>
    <xf numFmtId="0" fontId="5" fillId="8" borderId="92" xfId="0" applyFont="1" applyFill="1" applyBorder="1" applyAlignment="1">
      <alignment wrapText="1"/>
    </xf>
    <xf numFmtId="164" fontId="5" fillId="8" borderId="93" xfId="0" applyNumberFormat="1" applyFont="1" applyFill="1" applyBorder="1" applyAlignment="1">
      <alignment wrapText="1"/>
    </xf>
    <xf numFmtId="0" fontId="5" fillId="8" borderId="93" xfId="0" applyFont="1" applyFill="1" applyBorder="1" applyAlignment="1">
      <alignment horizontal="center" wrapText="1"/>
    </xf>
    <xf numFmtId="0" fontId="5" fillId="8" borderId="93" xfId="0" applyFont="1" applyFill="1" applyBorder="1" applyAlignment="1">
      <alignment wrapText="1"/>
    </xf>
    <xf numFmtId="0" fontId="5" fillId="8" borderId="94" xfId="0" applyFont="1" applyFill="1" applyBorder="1" applyAlignment="1">
      <alignment horizontal="center" wrapText="1"/>
    </xf>
    <xf numFmtId="173" fontId="5" fillId="8" borderId="24" xfId="0" applyNumberFormat="1" applyFont="1" applyFill="1" applyBorder="1" applyAlignment="1">
      <alignment wrapText="1"/>
    </xf>
    <xf numFmtId="0" fontId="5" fillId="8" borderId="24" xfId="0" applyFont="1" applyFill="1" applyBorder="1" applyAlignment="1">
      <alignment wrapText="1"/>
    </xf>
    <xf numFmtId="173" fontId="5" fillId="8" borderId="93" xfId="0" applyNumberFormat="1" applyFont="1" applyFill="1" applyBorder="1" applyAlignment="1">
      <alignment wrapText="1"/>
    </xf>
    <xf numFmtId="0" fontId="5" fillId="8" borderId="94" xfId="0" applyFont="1" applyFill="1" applyBorder="1" applyAlignment="1">
      <alignment wrapText="1"/>
    </xf>
    <xf numFmtId="0" fontId="3" fillId="8" borderId="82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39" xfId="0" applyFont="1" applyFill="1" applyBorder="1" applyAlignment="1">
      <alignment horizontal="center" vertical="center" wrapText="1"/>
    </xf>
    <xf numFmtId="0" fontId="3" fillId="8" borderId="99" xfId="0" applyFont="1" applyFill="1" applyBorder="1" applyAlignment="1">
      <alignment wrapText="1"/>
    </xf>
    <xf numFmtId="0" fontId="3" fillId="8" borderId="39" xfId="0" applyFont="1" applyFill="1" applyBorder="1" applyAlignment="1">
      <alignment horizontal="center" vertical="top" wrapText="1"/>
    </xf>
    <xf numFmtId="0" fontId="3" fillId="8" borderId="84" xfId="0" applyFont="1" applyFill="1" applyBorder="1" applyAlignment="1">
      <alignment horizontal="left" vertical="center" wrapText="1"/>
    </xf>
    <xf numFmtId="164" fontId="3" fillId="8" borderId="44" xfId="0" applyNumberFormat="1" applyFont="1" applyFill="1" applyBorder="1" applyAlignment="1">
      <alignment vertical="center" wrapText="1"/>
    </xf>
    <xf numFmtId="173" fontId="3" fillId="8" borderId="44" xfId="0" applyNumberFormat="1" applyFont="1" applyFill="1" applyBorder="1" applyAlignment="1">
      <alignment horizontal="center" vertical="center" wrapText="1"/>
    </xf>
    <xf numFmtId="0" fontId="3" fillId="8" borderId="82" xfId="0" applyFont="1" applyFill="1" applyBorder="1" applyAlignment="1">
      <alignment horizontal="left" vertical="top" wrapText="1"/>
    </xf>
    <xf numFmtId="0" fontId="3" fillId="8" borderId="84" xfId="0" applyFont="1" applyFill="1" applyBorder="1" applyAlignment="1">
      <alignment horizontal="left" vertical="top" wrapText="1"/>
    </xf>
    <xf numFmtId="0" fontId="3" fillId="8" borderId="44" xfId="0" applyFont="1" applyFill="1" applyBorder="1" applyAlignment="1">
      <alignment horizontal="center" wrapText="1"/>
    </xf>
    <xf numFmtId="0" fontId="3" fillId="8" borderId="85" xfId="0" applyFont="1" applyFill="1" applyBorder="1" applyAlignment="1">
      <alignment horizontal="center" wrapText="1"/>
    </xf>
    <xf numFmtId="0" fontId="3" fillId="8" borderId="84" xfId="0" applyFont="1" applyFill="1" applyBorder="1" applyAlignment="1">
      <alignment wrapText="1"/>
    </xf>
    <xf numFmtId="164" fontId="3" fillId="8" borderId="44" xfId="0" applyNumberFormat="1" applyFont="1" applyFill="1" applyBorder="1" applyAlignment="1">
      <alignment wrapText="1"/>
    </xf>
    <xf numFmtId="173" fontId="3" fillId="8" borderId="44" xfId="0" applyNumberFormat="1" applyFont="1" applyFill="1" applyBorder="1" applyAlignment="1">
      <alignment horizontal="center" wrapText="1"/>
    </xf>
    <xf numFmtId="0" fontId="3" fillId="8" borderId="22" xfId="0" applyFont="1" applyFill="1" applyBorder="1" applyAlignment="1">
      <alignment horizontal="left" vertical="top" wrapText="1"/>
    </xf>
    <xf numFmtId="0" fontId="3" fillId="8" borderId="100" xfId="0" applyFont="1" applyFill="1" applyBorder="1" applyAlignment="1">
      <alignment horizontal="left" vertical="center" wrapText="1"/>
    </xf>
    <xf numFmtId="164" fontId="3" fillId="8" borderId="47" xfId="0" applyNumberFormat="1" applyFont="1" applyFill="1" applyBorder="1" applyAlignment="1">
      <alignment wrapText="1"/>
    </xf>
    <xf numFmtId="173" fontId="3" fillId="8" borderId="47" xfId="0" applyNumberFormat="1" applyFont="1" applyFill="1" applyBorder="1" applyAlignment="1">
      <alignment horizontal="center" vertical="center" wrapText="1"/>
    </xf>
    <xf numFmtId="0" fontId="3" fillId="8" borderId="47" xfId="0" applyFont="1" applyFill="1" applyBorder="1" applyAlignment="1">
      <alignment horizontal="center" vertical="center" wrapText="1"/>
    </xf>
    <xf numFmtId="8" fontId="3" fillId="8" borderId="101" xfId="0" applyNumberFormat="1" applyFont="1" applyFill="1" applyBorder="1" applyAlignment="1">
      <alignment wrapText="1"/>
    </xf>
    <xf numFmtId="0" fontId="3" fillId="8" borderId="90" xfId="0" applyFont="1" applyFill="1" applyBorder="1" applyAlignment="1">
      <alignment wrapText="1"/>
    </xf>
    <xf numFmtId="0" fontId="3" fillId="8" borderId="78" xfId="0" applyFont="1" applyFill="1" applyBorder="1" applyAlignment="1">
      <alignment wrapText="1"/>
    </xf>
    <xf numFmtId="0" fontId="3" fillId="8" borderId="78" xfId="0" applyFont="1" applyFill="1" applyBorder="1" applyAlignment="1">
      <alignment horizontal="center" wrapText="1"/>
    </xf>
    <xf numFmtId="0" fontId="3" fillId="8" borderId="91" xfId="0" applyFont="1" applyFill="1" applyBorder="1" applyAlignment="1">
      <alignment horizontal="center" wrapText="1"/>
    </xf>
    <xf numFmtId="0" fontId="3" fillId="8" borderId="0" xfId="0" applyFont="1" applyFill="1" applyAlignment="1">
      <alignment wrapText="1"/>
    </xf>
    <xf numFmtId="0" fontId="3" fillId="8" borderId="1" xfId="0" applyFont="1" applyFill="1" applyBorder="1" applyAlignment="1">
      <alignment wrapText="1"/>
    </xf>
    <xf numFmtId="0" fontId="3" fillId="8" borderId="41" xfId="0" applyFont="1" applyFill="1" applyBorder="1" applyAlignment="1">
      <alignment wrapText="1"/>
    </xf>
    <xf numFmtId="166" fontId="3" fillId="8" borderId="78" xfId="0" applyNumberFormat="1" applyFont="1" applyFill="1" applyBorder="1" applyAlignment="1">
      <alignment wrapText="1"/>
    </xf>
    <xf numFmtId="173" fontId="3" fillId="8" borderId="78" xfId="0" applyNumberFormat="1" applyFont="1" applyFill="1" applyBorder="1" applyAlignment="1">
      <alignment wrapText="1"/>
    </xf>
    <xf numFmtId="0" fontId="3" fillId="8" borderId="91" xfId="0" applyFont="1" applyFill="1" applyBorder="1" applyAlignment="1">
      <alignment wrapText="1"/>
    </xf>
    <xf numFmtId="0" fontId="5" fillId="8" borderId="25" xfId="0" applyFont="1" applyFill="1" applyBorder="1" applyAlignment="1">
      <alignment horizontal="center" wrapText="1"/>
    </xf>
    <xf numFmtId="164" fontId="5" fillId="8" borderId="63" xfId="0" applyNumberFormat="1" applyFont="1" applyFill="1" applyBorder="1" applyAlignment="1">
      <alignment horizontal="center" vertical="center" wrapText="1"/>
    </xf>
    <xf numFmtId="164" fontId="0" fillId="8" borderId="63" xfId="0" applyNumberFormat="1" applyFill="1" applyBorder="1" applyAlignment="1">
      <alignment horizontal="center" vertical="center"/>
    </xf>
    <xf numFmtId="164" fontId="5" fillId="8" borderId="20" xfId="0" applyNumberFormat="1" applyFont="1" applyFill="1" applyBorder="1" applyAlignment="1">
      <alignment horizontal="center" vertical="center" wrapText="1"/>
    </xf>
    <xf numFmtId="164" fontId="5" fillId="8" borderId="2" xfId="0" applyNumberFormat="1" applyFont="1" applyFill="1" applyBorder="1" applyAlignment="1">
      <alignment horizontal="center" vertical="center" wrapText="1"/>
    </xf>
    <xf numFmtId="164" fontId="5" fillId="8" borderId="25" xfId="0" applyNumberFormat="1" applyFont="1" applyFill="1" applyBorder="1" applyAlignment="1">
      <alignment horizontal="center" vertical="center" wrapText="1"/>
    </xf>
    <xf numFmtId="164" fontId="0" fillId="8" borderId="69" xfId="0" applyNumberFormat="1" applyFill="1" applyBorder="1" applyAlignment="1">
      <alignment horizontal="center" vertical="center"/>
    </xf>
    <xf numFmtId="0" fontId="0" fillId="8" borderId="111" xfId="0" applyFill="1" applyBorder="1" applyAlignment="1">
      <alignment horizontal="center"/>
    </xf>
    <xf numFmtId="164" fontId="5" fillId="8" borderId="70" xfId="0" applyNumberFormat="1" applyFont="1" applyFill="1" applyBorder="1" applyAlignment="1">
      <alignment horizontal="center" vertical="center" wrapText="1"/>
    </xf>
    <xf numFmtId="164" fontId="0" fillId="8" borderId="1" xfId="0" applyNumberFormat="1" applyFill="1" applyBorder="1" applyAlignment="1">
      <alignment horizontal="center"/>
    </xf>
    <xf numFmtId="15" fontId="0" fillId="8" borderId="1" xfId="0" applyNumberFormat="1" applyFill="1" applyBorder="1"/>
    <xf numFmtId="164" fontId="5" fillId="8" borderId="44" xfId="0" applyNumberFormat="1" applyFont="1" applyFill="1" applyBorder="1" applyAlignment="1">
      <alignment horizontal="center" vertical="center" wrapText="1"/>
    </xf>
    <xf numFmtId="0" fontId="5" fillId="8" borderId="44" xfId="0" applyFont="1" applyFill="1" applyBorder="1" applyAlignment="1">
      <alignment vertical="center" wrapText="1"/>
    </xf>
    <xf numFmtId="0" fontId="3" fillId="8" borderId="32" xfId="0" applyFont="1" applyFill="1" applyBorder="1" applyAlignment="1">
      <alignment horizontal="left" vertical="center" wrapText="1"/>
    </xf>
    <xf numFmtId="15" fontId="3" fillId="8" borderId="1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3" xfId="0" applyFont="1" applyFill="1" applyBorder="1" applyAlignment="1">
      <alignment horizontal="center" vertical="center" wrapText="1"/>
    </xf>
    <xf numFmtId="164" fontId="3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65" fontId="3" fillId="8" borderId="1" xfId="0" applyNumberFormat="1" applyFont="1" applyFill="1" applyBorder="1" applyAlignment="1">
      <alignment horizontal="center" vertical="center" wrapText="1"/>
    </xf>
    <xf numFmtId="165" fontId="3" fillId="11" borderId="1" xfId="0" applyNumberFormat="1" applyFont="1" applyFill="1" applyBorder="1" applyAlignment="1">
      <alignment horizontal="center" vertical="center" wrapText="1"/>
    </xf>
    <xf numFmtId="165" fontId="2" fillId="2" borderId="19" xfId="0" applyNumberFormat="1" applyFont="1" applyFill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164" fontId="3" fillId="8" borderId="41" xfId="0" applyNumberFormat="1" applyFont="1" applyFill="1" applyBorder="1" applyAlignment="1">
      <alignment horizontal="center" vertical="center" wrapText="1"/>
    </xf>
    <xf numFmtId="164" fontId="5" fillId="3" borderId="42" xfId="0" applyNumberFormat="1" applyFont="1" applyFill="1" applyBorder="1" applyAlignment="1">
      <alignment horizontal="center" vertical="center" wrapText="1"/>
    </xf>
    <xf numFmtId="167" fontId="3" fillId="11" borderId="1" xfId="0" applyNumberFormat="1" applyFont="1" applyFill="1" applyBorder="1" applyAlignment="1">
      <alignment wrapText="1"/>
    </xf>
    <xf numFmtId="0" fontId="3" fillId="3" borderId="43" xfId="0" applyFont="1" applyFill="1" applyBorder="1" applyAlignment="1">
      <alignment horizontal="left" vertical="center" wrapText="1"/>
    </xf>
    <xf numFmtId="164" fontId="3" fillId="8" borderId="45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164" fontId="3" fillId="11" borderId="44" xfId="0" applyNumberFormat="1" applyFont="1" applyFill="1" applyBorder="1" applyAlignment="1">
      <alignment horizontal="center" vertical="center" wrapText="1"/>
    </xf>
    <xf numFmtId="165" fontId="3" fillId="11" borderId="44" xfId="0" applyNumberFormat="1" applyFont="1" applyFill="1" applyBorder="1" applyAlignment="1">
      <alignment horizontal="center" vertical="center" wrapText="1"/>
    </xf>
    <xf numFmtId="0" fontId="3" fillId="11" borderId="44" xfId="0" applyFont="1" applyFill="1" applyBorder="1" applyAlignment="1">
      <alignment horizontal="center" vertical="center" wrapText="1"/>
    </xf>
    <xf numFmtId="164" fontId="3" fillId="11" borderId="24" xfId="0" applyNumberFormat="1" applyFont="1" applyFill="1" applyBorder="1" applyAlignment="1">
      <alignment horizontal="center" vertical="center" wrapText="1"/>
    </xf>
    <xf numFmtId="165" fontId="3" fillId="11" borderId="24" xfId="0" applyNumberFormat="1" applyFont="1" applyFill="1" applyBorder="1" applyAlignment="1">
      <alignment horizontal="center" vertical="center" wrapText="1"/>
    </xf>
    <xf numFmtId="0" fontId="3" fillId="11" borderId="24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5" fillId="0" borderId="43" xfId="0" applyFont="1" applyBorder="1" applyAlignment="1">
      <alignment horizontal="left" vertical="center" wrapText="1"/>
    </xf>
    <xf numFmtId="169" fontId="5" fillId="8" borderId="59" xfId="0" applyNumberFormat="1" applyFont="1" applyFill="1" applyBorder="1" applyAlignment="1">
      <alignment horizontal="center" vertical="center" wrapText="1"/>
    </xf>
    <xf numFmtId="164" fontId="5" fillId="3" borderId="45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left" vertical="center"/>
    </xf>
    <xf numFmtId="164" fontId="0" fillId="0" borderId="41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10" fillId="8" borderId="1" xfId="0" applyNumberFormat="1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 wrapText="1"/>
    </xf>
    <xf numFmtId="169" fontId="10" fillId="11" borderId="2" xfId="0" applyNumberFormat="1" applyFont="1" applyFill="1" applyBorder="1" applyAlignment="1">
      <alignment horizontal="center" vertical="center" wrapText="1"/>
    </xf>
    <xf numFmtId="16" fontId="0" fillId="11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9" fontId="5" fillId="11" borderId="2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8" borderId="24" xfId="0" applyFill="1" applyBorder="1" applyAlignment="1">
      <alignment vertical="center"/>
    </xf>
    <xf numFmtId="0" fontId="0" fillId="0" borderId="24" xfId="0" applyBorder="1"/>
    <xf numFmtId="0" fontId="3" fillId="8" borderId="1" xfId="0" applyFont="1" applyFill="1" applyBorder="1" applyAlignment="1">
      <alignment horizontal="left" vertical="center" wrapText="1"/>
    </xf>
    <xf numFmtId="0" fontId="5" fillId="8" borderId="44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top" wrapText="1"/>
    </xf>
    <xf numFmtId="172" fontId="5" fillId="8" borderId="1" xfId="0" applyNumberFormat="1" applyFont="1" applyFill="1" applyBorder="1" applyAlignment="1">
      <alignment horizontal="center" vertical="center" wrapText="1"/>
    </xf>
    <xf numFmtId="172" fontId="5" fillId="8" borderId="44" xfId="0" applyNumberFormat="1" applyFont="1" applyFill="1" applyBorder="1" applyAlignment="1">
      <alignment horizontal="center" vertical="center" wrapText="1"/>
    </xf>
    <xf numFmtId="0" fontId="6" fillId="9" borderId="138" xfId="0" applyFont="1" applyFill="1" applyBorder="1" applyAlignment="1">
      <alignment horizontal="center" vertical="center" wrapText="1"/>
    </xf>
    <xf numFmtId="0" fontId="5" fillId="0" borderId="56" xfId="0" applyFont="1" applyBorder="1" applyAlignment="1">
      <alignment wrapText="1"/>
    </xf>
    <xf numFmtId="15" fontId="3" fillId="8" borderId="22" xfId="0" applyNumberFormat="1" applyFont="1" applyFill="1" applyBorder="1" applyAlignment="1">
      <alignment horizontal="left" vertical="center" wrapText="1"/>
    </xf>
    <xf numFmtId="8" fontId="5" fillId="8" borderId="56" xfId="0" applyNumberFormat="1" applyFont="1" applyFill="1" applyBorder="1" applyAlignment="1">
      <alignment wrapText="1"/>
    </xf>
    <xf numFmtId="0" fontId="5" fillId="0" borderId="55" xfId="0" applyFont="1" applyBorder="1" applyAlignment="1">
      <alignment horizontal="left" vertical="center" wrapText="1"/>
    </xf>
    <xf numFmtId="0" fontId="5" fillId="0" borderId="139" xfId="0" applyFont="1" applyBorder="1" applyAlignment="1">
      <alignment horizontal="left" vertical="center" wrapText="1"/>
    </xf>
    <xf numFmtId="164" fontId="5" fillId="0" borderId="140" xfId="0" applyNumberFormat="1" applyFont="1" applyBorder="1" applyAlignment="1">
      <alignment horizontal="center" vertical="center" wrapText="1"/>
    </xf>
    <xf numFmtId="0" fontId="5" fillId="0" borderId="140" xfId="0" applyFont="1" applyBorder="1" applyAlignment="1">
      <alignment horizontal="center" vertical="center" wrapText="1"/>
    </xf>
    <xf numFmtId="8" fontId="5" fillId="0" borderId="141" xfId="0" applyNumberFormat="1" applyFont="1" applyBorder="1" applyAlignment="1">
      <alignment wrapText="1"/>
    </xf>
    <xf numFmtId="164" fontId="5" fillId="11" borderId="44" xfId="0" applyNumberFormat="1" applyFont="1" applyFill="1" applyBorder="1" applyAlignment="1">
      <alignment horizontal="center" vertical="center" wrapText="1"/>
    </xf>
    <xf numFmtId="169" fontId="5" fillId="11" borderId="59" xfId="0" applyNumberFormat="1" applyFont="1" applyFill="1" applyBorder="1" applyAlignment="1">
      <alignment horizontal="center" vertical="center" wrapText="1"/>
    </xf>
    <xf numFmtId="15" fontId="3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0" fillId="11" borderId="135" xfId="0" applyFill="1" applyBorder="1"/>
    <xf numFmtId="164" fontId="5" fillId="11" borderId="3" xfId="0" applyNumberFormat="1" applyFont="1" applyFill="1" applyBorder="1" applyAlignment="1">
      <alignment horizontal="center" wrapText="1"/>
    </xf>
    <xf numFmtId="0" fontId="5" fillId="11" borderId="5" xfId="0" applyFont="1" applyFill="1" applyBorder="1" applyAlignment="1">
      <alignment horizontal="center" vertical="center" wrapText="1"/>
    </xf>
    <xf numFmtId="164" fontId="0" fillId="14" borderId="0" xfId="0" applyNumberFormat="1" applyFill="1"/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wrapText="1"/>
    </xf>
    <xf numFmtId="0" fontId="0" fillId="11" borderId="3" xfId="0" applyFill="1" applyBorder="1"/>
    <xf numFmtId="0" fontId="5" fillId="11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wrapText="1"/>
    </xf>
    <xf numFmtId="164" fontId="5" fillId="11" borderId="0" xfId="0" applyNumberFormat="1" applyFont="1" applyFill="1" applyAlignment="1">
      <alignment wrapText="1"/>
    </xf>
    <xf numFmtId="169" fontId="6" fillId="0" borderId="1" xfId="0" applyNumberFormat="1" applyFont="1" applyBorder="1" applyAlignment="1">
      <alignment horizontal="center" vertical="center" wrapText="1"/>
    </xf>
    <xf numFmtId="169" fontId="3" fillId="8" borderId="1" xfId="0" applyNumberFormat="1" applyFont="1" applyFill="1" applyBorder="1" applyAlignment="1">
      <alignment horizontal="center" vertical="center" wrapText="1"/>
    </xf>
    <xf numFmtId="169" fontId="5" fillId="3" borderId="1" xfId="0" applyNumberFormat="1" applyFont="1" applyFill="1" applyBorder="1" applyAlignment="1">
      <alignment horizontal="center" vertical="center" wrapText="1"/>
    </xf>
    <xf numFmtId="169" fontId="5" fillId="0" borderId="1" xfId="0" applyNumberFormat="1" applyFont="1" applyBorder="1" applyAlignment="1">
      <alignment horizontal="center" vertical="center" wrapText="1"/>
    </xf>
    <xf numFmtId="0" fontId="0" fillId="11" borderId="1" xfId="0" applyFill="1" applyBorder="1"/>
    <xf numFmtId="164" fontId="5" fillId="11" borderId="1" xfId="0" applyNumberFormat="1" applyFont="1" applyFill="1" applyBorder="1" applyAlignment="1">
      <alignment horizontal="center" wrapText="1"/>
    </xf>
    <xf numFmtId="15" fontId="5" fillId="11" borderId="1" xfId="0" applyNumberFormat="1" applyFont="1" applyFill="1" applyBorder="1" applyAlignment="1">
      <alignment horizontal="center" vertical="center" wrapText="1"/>
    </xf>
    <xf numFmtId="169" fontId="5" fillId="11" borderId="1" xfId="0" applyNumberFormat="1" applyFont="1" applyFill="1" applyBorder="1" applyAlignment="1">
      <alignment horizontal="center" vertical="center" wrapText="1"/>
    </xf>
    <xf numFmtId="15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" fontId="0" fillId="8" borderId="1" xfId="0" applyNumberFormat="1" applyFill="1" applyBorder="1" applyAlignment="1">
      <alignment horizontal="center" vertical="center"/>
    </xf>
    <xf numFmtId="0" fontId="6" fillId="9" borderId="114" xfId="0" applyFont="1" applyFill="1" applyBorder="1" applyAlignment="1">
      <alignment horizontal="center" vertical="center"/>
    </xf>
    <xf numFmtId="0" fontId="6" fillId="8" borderId="116" xfId="0" applyFont="1" applyFill="1" applyBorder="1" applyAlignment="1">
      <alignment horizontal="center" vertical="center"/>
    </xf>
    <xf numFmtId="0" fontId="3" fillId="8" borderId="115" xfId="0" applyFont="1" applyFill="1" applyBorder="1" applyAlignment="1">
      <alignment horizontal="left" vertical="center" wrapText="1"/>
    </xf>
    <xf numFmtId="0" fontId="5" fillId="11" borderId="115" xfId="0" applyFont="1" applyFill="1" applyBorder="1" applyAlignment="1">
      <alignment horizontal="left" vertical="center" wrapText="1"/>
    </xf>
    <xf numFmtId="15" fontId="3" fillId="8" borderId="115" xfId="0" applyNumberFormat="1" applyFont="1" applyFill="1" applyBorder="1" applyAlignment="1">
      <alignment vertical="center" wrapText="1"/>
    </xf>
    <xf numFmtId="15" fontId="3" fillId="8" borderId="115" xfId="0" applyNumberFormat="1" applyFont="1" applyFill="1" applyBorder="1" applyAlignment="1">
      <alignment horizontal="center" vertical="center" wrapText="1"/>
    </xf>
    <xf numFmtId="0" fontId="5" fillId="3" borderId="115" xfId="0" applyFont="1" applyFill="1" applyBorder="1" applyAlignment="1">
      <alignment horizontal="left" vertical="center" wrapText="1"/>
    </xf>
    <xf numFmtId="0" fontId="5" fillId="0" borderId="115" xfId="0" applyFont="1" applyBorder="1" applyAlignment="1">
      <alignment horizontal="left" vertical="center" wrapText="1"/>
    </xf>
    <xf numFmtId="0" fontId="5" fillId="0" borderId="122" xfId="0" applyFont="1" applyBorder="1" applyAlignment="1">
      <alignment horizontal="left" vertical="center" wrapText="1"/>
    </xf>
    <xf numFmtId="167" fontId="5" fillId="0" borderId="123" xfId="0" applyNumberFormat="1" applyFont="1" applyBorder="1" applyAlignment="1">
      <alignment horizontal="center" vertical="center" wrapText="1"/>
    </xf>
    <xf numFmtId="169" fontId="5" fillId="0" borderId="123" xfId="0" applyNumberFormat="1" applyFont="1" applyBorder="1" applyAlignment="1">
      <alignment wrapText="1"/>
    </xf>
    <xf numFmtId="176" fontId="0" fillId="0" borderId="1" xfId="0" applyNumberFormat="1" applyBorder="1"/>
    <xf numFmtId="176" fontId="0" fillId="0" borderId="2" xfId="0" applyNumberFormat="1" applyBorder="1"/>
    <xf numFmtId="176" fontId="0" fillId="0" borderId="4" xfId="0" applyNumberFormat="1" applyBorder="1"/>
    <xf numFmtId="0" fontId="6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 applyAlignment="1">
      <alignment horizontal="center"/>
    </xf>
    <xf numFmtId="0" fontId="5" fillId="0" borderId="22" xfId="0" applyFont="1" applyBorder="1" applyAlignment="1">
      <alignment wrapText="1"/>
    </xf>
    <xf numFmtId="176" fontId="0" fillId="0" borderId="41" xfId="0" applyNumberFormat="1" applyBorder="1"/>
    <xf numFmtId="176" fontId="0" fillId="0" borderId="24" xfId="0" applyNumberFormat="1" applyBorder="1"/>
    <xf numFmtId="176" fontId="0" fillId="0" borderId="25" xfId="0" applyNumberFormat="1" applyBorder="1"/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0" fillId="0" borderId="135" xfId="0" applyBorder="1"/>
    <xf numFmtId="164" fontId="5" fillId="0" borderId="4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25" xfId="0" applyNumberFormat="1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6" fillId="4" borderId="112" xfId="0" applyFont="1" applyFill="1" applyBorder="1" applyAlignment="1">
      <alignment horizontal="center" vertical="center" wrapText="1"/>
    </xf>
    <xf numFmtId="0" fontId="6" fillId="4" borderId="113" xfId="0" applyFont="1" applyFill="1" applyBorder="1" applyAlignment="1">
      <alignment horizontal="center" vertical="center" wrapText="1"/>
    </xf>
    <xf numFmtId="0" fontId="6" fillId="6" borderId="136" xfId="0" applyFont="1" applyFill="1" applyBorder="1" applyAlignment="1">
      <alignment horizontal="center" vertical="center" wrapText="1"/>
    </xf>
    <xf numFmtId="0" fontId="6" fillId="6" borderId="137" xfId="0" applyFont="1" applyFill="1" applyBorder="1" applyAlignment="1">
      <alignment horizontal="center" vertical="center" wrapText="1"/>
    </xf>
    <xf numFmtId="0" fontId="7" fillId="5" borderId="44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6" fillId="4" borderId="51" xfId="0" applyFont="1" applyFill="1" applyBorder="1" applyAlignment="1">
      <alignment horizontal="center" vertical="center" wrapText="1"/>
    </xf>
    <xf numFmtId="0" fontId="6" fillId="4" borderId="52" xfId="0" applyFont="1" applyFill="1" applyBorder="1" applyAlignment="1">
      <alignment horizontal="center" vertical="center" wrapText="1"/>
    </xf>
    <xf numFmtId="0" fontId="6" fillId="4" borderId="5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4" fillId="5" borderId="79" xfId="0" applyFont="1" applyFill="1" applyBorder="1" applyAlignment="1">
      <alignment horizontal="center" vertical="center" wrapText="1"/>
    </xf>
    <xf numFmtId="0" fontId="4" fillId="5" borderId="80" xfId="0" applyFont="1" applyFill="1" applyBorder="1" applyAlignment="1">
      <alignment horizontal="center" vertical="center" wrapText="1"/>
    </xf>
    <xf numFmtId="0" fontId="4" fillId="5" borderId="81" xfId="0" applyFont="1" applyFill="1" applyBorder="1" applyAlignment="1">
      <alignment horizontal="center" vertical="center" wrapText="1"/>
    </xf>
    <xf numFmtId="0" fontId="2" fillId="4" borderId="51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2" fillId="6" borderId="95" xfId="0" applyFont="1" applyFill="1" applyBorder="1" applyAlignment="1">
      <alignment horizontal="center" vertical="center" wrapText="1"/>
    </xf>
    <xf numFmtId="0" fontId="2" fillId="6" borderId="96" xfId="0" applyFont="1" applyFill="1" applyBorder="1" applyAlignment="1">
      <alignment horizontal="center" vertical="center" wrapText="1"/>
    </xf>
    <xf numFmtId="0" fontId="7" fillId="5" borderId="79" xfId="0" applyFont="1" applyFill="1" applyBorder="1" applyAlignment="1">
      <alignment horizontal="center" vertical="center" wrapText="1"/>
    </xf>
    <xf numFmtId="0" fontId="7" fillId="5" borderId="80" xfId="0" applyFont="1" applyFill="1" applyBorder="1" applyAlignment="1">
      <alignment horizontal="center" vertical="center" wrapText="1"/>
    </xf>
    <xf numFmtId="0" fontId="7" fillId="5" borderId="81" xfId="0" applyFont="1" applyFill="1" applyBorder="1" applyAlignment="1">
      <alignment horizontal="center" vertical="center" wrapText="1"/>
    </xf>
    <xf numFmtId="0" fontId="6" fillId="6" borderId="95" xfId="0" applyFont="1" applyFill="1" applyBorder="1" applyAlignment="1">
      <alignment horizontal="center" vertical="center" wrapText="1"/>
    </xf>
    <xf numFmtId="0" fontId="6" fillId="6" borderId="96" xfId="0" applyFont="1" applyFill="1" applyBorder="1" applyAlignment="1">
      <alignment horizontal="center" vertical="center" wrapText="1"/>
    </xf>
    <xf numFmtId="0" fontId="7" fillId="5" borderId="112" xfId="0" applyFont="1" applyFill="1" applyBorder="1" applyAlignment="1">
      <alignment horizontal="center" vertical="center" wrapText="1"/>
    </xf>
    <xf numFmtId="0" fontId="7" fillId="5" borderId="113" xfId="0" applyFont="1" applyFill="1" applyBorder="1" applyAlignment="1">
      <alignment horizontal="center" vertical="center" wrapText="1"/>
    </xf>
    <xf numFmtId="0" fontId="7" fillId="5" borderId="114" xfId="0" applyFont="1" applyFill="1" applyBorder="1" applyAlignment="1">
      <alignment horizontal="center" vertical="center" wrapText="1"/>
    </xf>
    <xf numFmtId="0" fontId="7" fillId="5" borderId="74" xfId="0" applyFont="1" applyFill="1" applyBorder="1" applyAlignment="1">
      <alignment horizontal="center" vertical="center" wrapText="1"/>
    </xf>
    <xf numFmtId="0" fontId="7" fillId="5" borderId="75" xfId="0" applyFont="1" applyFill="1" applyBorder="1" applyAlignment="1">
      <alignment horizontal="center" vertical="center" wrapText="1"/>
    </xf>
    <xf numFmtId="0" fontId="7" fillId="5" borderId="76" xfId="0" applyFont="1" applyFill="1" applyBorder="1" applyAlignment="1">
      <alignment horizontal="center" vertical="center" wrapText="1"/>
    </xf>
    <xf numFmtId="0" fontId="6" fillId="4" borderId="127" xfId="0" applyFont="1" applyFill="1" applyBorder="1" applyAlignment="1">
      <alignment horizontal="center" vertical="center" wrapText="1"/>
    </xf>
    <xf numFmtId="0" fontId="6" fillId="4" borderId="128" xfId="0" applyFont="1" applyFill="1" applyBorder="1" applyAlignment="1">
      <alignment horizontal="center" vertical="center" wrapText="1"/>
    </xf>
    <xf numFmtId="0" fontId="6" fillId="4" borderId="129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922-4EEF-A0DE-BE3AEA879B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922-4EEF-A0DE-BE3AEA879B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922-4EEF-A0DE-BE3AEA879B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922-4EEF-A0DE-BE3AEA879B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922-4EEF-A0DE-BE3AEA879B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922-4EEF-A0DE-BE3AEA879B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922-4EEF-A0DE-BE3AEA879BD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922-4EEF-A0DE-BE3AEA879BD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922-4EEF-A0DE-BE3AEA879BD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922-4EEF-A0DE-BE3AEA879BD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922-4EEF-A0DE-BE3AEA879BD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922-4EEF-A0DE-BE3AEA879B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FEBRERO!$A$2:$A$13</c:f>
              <c:strCache>
                <c:ptCount val="12"/>
                <c:pt idx="0">
                  <c:v>Celular</c:v>
                </c:pt>
                <c:pt idx="1">
                  <c:v>Mauro</c:v>
                </c:pt>
                <c:pt idx="2">
                  <c:v>Credito</c:v>
                </c:pt>
                <c:pt idx="3">
                  <c:v>Servicios</c:v>
                </c:pt>
                <c:pt idx="4">
                  <c:v>Mercado</c:v>
                </c:pt>
                <c:pt idx="5">
                  <c:v>Crédito móvil</c:v>
                </c:pt>
                <c:pt idx="6">
                  <c:v>Interés Mami </c:v>
                </c:pt>
                <c:pt idx="7">
                  <c:v>Lorelei</c:v>
                </c:pt>
                <c:pt idx="8">
                  <c:v>CX</c:v>
                </c:pt>
                <c:pt idx="9">
                  <c:v>Tarjeta</c:v>
                </c:pt>
                <c:pt idx="10">
                  <c:v>Gasolina</c:v>
                </c:pt>
                <c:pt idx="11">
                  <c:v>Cadena, fondo</c:v>
                </c:pt>
              </c:strCache>
            </c:strRef>
          </c:cat>
          <c:val>
            <c:numRef>
              <c:f>FEBRERO!$B$2:$B$13</c:f>
              <c:numCache>
                <c:formatCode>[$$-240A]\ #,##0.000</c:formatCode>
                <c:ptCount val="12"/>
                <c:pt idx="0">
                  <c:v>55</c:v>
                </c:pt>
                <c:pt idx="1">
                  <c:v>350</c:v>
                </c:pt>
                <c:pt idx="2">
                  <c:v>1060</c:v>
                </c:pt>
                <c:pt idx="3">
                  <c:v>200</c:v>
                </c:pt>
                <c:pt idx="4">
                  <c:v>500</c:v>
                </c:pt>
                <c:pt idx="5">
                  <c:v>780</c:v>
                </c:pt>
                <c:pt idx="6">
                  <c:v>200</c:v>
                </c:pt>
                <c:pt idx="7">
                  <c:v>55</c:v>
                </c:pt>
                <c:pt idx="8">
                  <c:v>1500</c:v>
                </c:pt>
                <c:pt idx="9">
                  <c:v>1200</c:v>
                </c:pt>
                <c:pt idx="10">
                  <c:v>300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6-F34E-8191-CA7B7C98A18B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FC0-482F-9C31-3348592C4D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FC0-482F-9C31-3348592C4D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FC0-482F-9C31-3348592C4D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FC0-482F-9C31-3348592C4D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FC0-482F-9C31-3348592C4D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FC0-482F-9C31-3348592C4DC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FC0-482F-9C31-3348592C4DC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FC0-482F-9C31-3348592C4DC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FC0-482F-9C31-3348592C4DC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FC0-482F-9C31-3348592C4DC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FC0-482F-9C31-3348592C4DC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FC0-482F-9C31-3348592C4D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MARZO!$A$2:$A$13</c:f>
              <c:strCache>
                <c:ptCount val="12"/>
                <c:pt idx="0">
                  <c:v>Celular</c:v>
                </c:pt>
                <c:pt idx="1">
                  <c:v>Mauro</c:v>
                </c:pt>
                <c:pt idx="2">
                  <c:v>Credito</c:v>
                </c:pt>
                <c:pt idx="3">
                  <c:v>Servicios</c:v>
                </c:pt>
                <c:pt idx="4">
                  <c:v>Mercado</c:v>
                </c:pt>
                <c:pt idx="5">
                  <c:v>Crédito móvil</c:v>
                </c:pt>
                <c:pt idx="6">
                  <c:v>Interés Mami </c:v>
                </c:pt>
                <c:pt idx="7">
                  <c:v>Lorelei</c:v>
                </c:pt>
                <c:pt idx="8">
                  <c:v>CX</c:v>
                </c:pt>
                <c:pt idx="9">
                  <c:v>Tarjeta</c:v>
                </c:pt>
                <c:pt idx="10">
                  <c:v>Gasolina</c:v>
                </c:pt>
                <c:pt idx="11">
                  <c:v>Fondo</c:v>
                </c:pt>
              </c:strCache>
            </c:strRef>
          </c:cat>
          <c:val>
            <c:numRef>
              <c:f>MARZO!$B$2:$B$13</c:f>
              <c:numCache>
                <c:formatCode>[$$-240A]\ #,##0.000</c:formatCode>
                <c:ptCount val="12"/>
                <c:pt idx="0">
                  <c:v>58</c:v>
                </c:pt>
                <c:pt idx="1">
                  <c:v>350</c:v>
                </c:pt>
                <c:pt idx="2">
                  <c:v>1060</c:v>
                </c:pt>
                <c:pt idx="3">
                  <c:v>340</c:v>
                </c:pt>
                <c:pt idx="4">
                  <c:v>500</c:v>
                </c:pt>
                <c:pt idx="5">
                  <c:v>780</c:v>
                </c:pt>
                <c:pt idx="6">
                  <c:v>200</c:v>
                </c:pt>
                <c:pt idx="8">
                  <c:v>1500</c:v>
                </c:pt>
                <c:pt idx="9">
                  <c:v>970</c:v>
                </c:pt>
                <c:pt idx="10">
                  <c:v>365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D-D84D-A7AB-0E7632A74714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CC1-420E-8915-0522C404D2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CC1-420E-8915-0522C404D2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CC1-420E-8915-0522C404D2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CC1-420E-8915-0522C404D2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CC1-420E-8915-0522C404D2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CC1-420E-8915-0522C404D2B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CC1-420E-8915-0522C404D2B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CC1-420E-8915-0522C404D2B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CC1-420E-8915-0522C404D2B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CC1-420E-8915-0522C404D2B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CC1-420E-8915-0522C404D2B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CC1-420E-8915-0522C404D2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ABRIL!$A$2:$A$13</c:f>
              <c:strCache>
                <c:ptCount val="12"/>
                <c:pt idx="0">
                  <c:v>Cadena, fondo</c:v>
                </c:pt>
                <c:pt idx="1">
                  <c:v>Celular</c:v>
                </c:pt>
                <c:pt idx="2">
                  <c:v>Credito</c:v>
                </c:pt>
                <c:pt idx="3">
                  <c:v>Crédito móvil</c:v>
                </c:pt>
                <c:pt idx="4">
                  <c:v>CX</c:v>
                </c:pt>
                <c:pt idx="5">
                  <c:v>Gasolina</c:v>
                </c:pt>
                <c:pt idx="6">
                  <c:v>Interés Mami </c:v>
                </c:pt>
                <c:pt idx="7">
                  <c:v>Lorelei</c:v>
                </c:pt>
                <c:pt idx="8">
                  <c:v>Mauro</c:v>
                </c:pt>
                <c:pt idx="9">
                  <c:v>Mercado</c:v>
                </c:pt>
                <c:pt idx="10">
                  <c:v>Servicios</c:v>
                </c:pt>
                <c:pt idx="11">
                  <c:v>Tarjeta</c:v>
                </c:pt>
              </c:strCache>
            </c:strRef>
          </c:cat>
          <c:val>
            <c:numRef>
              <c:f>ABRIL!$B$2:$B$13</c:f>
              <c:numCache>
                <c:formatCode>[$$-240A]\ #,##0.000</c:formatCode>
                <c:ptCount val="12"/>
                <c:pt idx="0">
                  <c:v>1200</c:v>
                </c:pt>
                <c:pt idx="1">
                  <c:v>56</c:v>
                </c:pt>
                <c:pt idx="2">
                  <c:v>1060</c:v>
                </c:pt>
                <c:pt idx="3">
                  <c:v>780</c:v>
                </c:pt>
                <c:pt idx="4">
                  <c:v>1500</c:v>
                </c:pt>
                <c:pt idx="5">
                  <c:v>490</c:v>
                </c:pt>
                <c:pt idx="6">
                  <c:v>200</c:v>
                </c:pt>
                <c:pt idx="8">
                  <c:v>350</c:v>
                </c:pt>
                <c:pt idx="9">
                  <c:v>300</c:v>
                </c:pt>
                <c:pt idx="10">
                  <c:v>200</c:v>
                </c:pt>
                <c:pt idx="11">
                  <c:v>2548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6-E14A-8068-C1345431567E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688-4ECE-A98E-706233DD43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688-4ECE-A98E-706233DD43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688-4ECE-A98E-706233DD43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688-4ECE-A98E-706233DD43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688-4ECE-A98E-706233DD438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688-4ECE-A98E-706233DD438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688-4ECE-A98E-706233DD438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688-4ECE-A98E-706233DD438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688-4ECE-A98E-706233DD438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688-4ECE-A98E-706233DD438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688-4ECE-A98E-706233DD438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688-4ECE-A98E-706233DD43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MAYO!$A$2:$A$13</c:f>
              <c:strCache>
                <c:ptCount val="12"/>
                <c:pt idx="0">
                  <c:v>Celular</c:v>
                </c:pt>
                <c:pt idx="1">
                  <c:v>Mauro</c:v>
                </c:pt>
                <c:pt idx="2">
                  <c:v>Credito</c:v>
                </c:pt>
                <c:pt idx="3">
                  <c:v>Servicios</c:v>
                </c:pt>
                <c:pt idx="4">
                  <c:v>Mercado</c:v>
                </c:pt>
                <c:pt idx="5">
                  <c:v>Crédito móvil</c:v>
                </c:pt>
                <c:pt idx="6">
                  <c:v>Interés Mami </c:v>
                </c:pt>
                <c:pt idx="7">
                  <c:v>Lorelei</c:v>
                </c:pt>
                <c:pt idx="8">
                  <c:v>CX</c:v>
                </c:pt>
                <c:pt idx="9">
                  <c:v>Tarjeta</c:v>
                </c:pt>
                <c:pt idx="10">
                  <c:v>Gasolina</c:v>
                </c:pt>
                <c:pt idx="11">
                  <c:v>Cadena, Bolsillo</c:v>
                </c:pt>
              </c:strCache>
            </c:strRef>
          </c:cat>
          <c:val>
            <c:numRef>
              <c:f>MAYO!$B$2:$B$13</c:f>
              <c:numCache>
                <c:formatCode>[$$-240A]\ #,##0.000</c:formatCode>
                <c:ptCount val="12"/>
                <c:pt idx="0">
                  <c:v>56</c:v>
                </c:pt>
                <c:pt idx="1">
                  <c:v>350</c:v>
                </c:pt>
                <c:pt idx="2">
                  <c:v>1060</c:v>
                </c:pt>
                <c:pt idx="3">
                  <c:v>230</c:v>
                </c:pt>
                <c:pt idx="4">
                  <c:v>300</c:v>
                </c:pt>
                <c:pt idx="5">
                  <c:v>780</c:v>
                </c:pt>
                <c:pt idx="6">
                  <c:v>200</c:v>
                </c:pt>
                <c:pt idx="8">
                  <c:v>1500</c:v>
                </c:pt>
                <c:pt idx="9">
                  <c:v>1506</c:v>
                </c:pt>
                <c:pt idx="10">
                  <c:v>244</c:v>
                </c:pt>
                <c:pt idx="1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688-4ECE-A98E-706233DD438C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microsoft.com/office/2011/relationships/webextension" Target="../webextensions/webextension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microsoft.com/office/2011/relationships/webextension" Target="../webextensions/webextension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1251857</xdr:colOff>
      <xdr:row>1</xdr:row>
      <xdr:rowOff>47701</xdr:rowOff>
    </xdr:from>
    <xdr:to>
      <xdr:col>11</xdr:col>
      <xdr:colOff>188232</xdr:colOff>
      <xdr:row>15</xdr:row>
      <xdr:rowOff>129949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29CEB737-8B68-AA4E-A7B5-3DD339DCB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261257</xdr:colOff>
      <xdr:row>1</xdr:row>
      <xdr:rowOff>76276</xdr:rowOff>
    </xdr:from>
    <xdr:to>
      <xdr:col>12</xdr:col>
      <xdr:colOff>369207</xdr:colOff>
      <xdr:row>15</xdr:row>
      <xdr:rowOff>158524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EF6C05EE-CF97-A64D-8DD5-23E441160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1251857</xdr:colOff>
      <xdr:row>1</xdr:row>
      <xdr:rowOff>47701</xdr:rowOff>
    </xdr:from>
    <xdr:to>
      <xdr:col>11</xdr:col>
      <xdr:colOff>188232</xdr:colOff>
      <xdr:row>15</xdr:row>
      <xdr:rowOff>129949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6A92AE-E540-8A4E-9E0D-D9517805A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1251857</xdr:colOff>
      <xdr:row>1</xdr:row>
      <xdr:rowOff>47701</xdr:rowOff>
    </xdr:from>
    <xdr:to>
      <xdr:col>11</xdr:col>
      <xdr:colOff>188232</xdr:colOff>
      <xdr:row>15</xdr:row>
      <xdr:rowOff>129949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B1B4D4-6E0B-4D63-885C-CA482CFA3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412749</xdr:colOff>
      <xdr:row>0</xdr:row>
      <xdr:rowOff>21166</xdr:rowOff>
    </xdr:from>
    <xdr:to>
      <xdr:col>11</xdr:col>
      <xdr:colOff>387350</xdr:colOff>
      <xdr:row>11</xdr:row>
      <xdr:rowOff>45155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7" name="Complemento 6">
              <a:extLst>
                <a:ext uri="{FF2B5EF4-FFF2-40B4-BE49-F238E27FC236}">
                  <a16:creationId xmlns:a16="http://schemas.microsoft.com/office/drawing/2014/main" id="{18E44A42-99C0-9309-89F4-B8EAB5AE21CB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7" name="Complemento 6">
              <a:extLst>
                <a:ext uri="{FF2B5EF4-FFF2-40B4-BE49-F238E27FC236}">
                  <a16:creationId xmlns:a16="http://schemas.microsoft.com/office/drawing/2014/main" id="{18E44A42-99C0-9309-89F4-B8EAB5AE21C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955674</xdr:colOff>
      <xdr:row>1</xdr:row>
      <xdr:rowOff>135466</xdr:rowOff>
    </xdr:from>
    <xdr:to>
      <xdr:col>8</xdr:col>
      <xdr:colOff>114300</xdr:colOff>
      <xdr:row>12</xdr:row>
      <xdr:rowOff>172155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Complemento 6">
              <a:extLst>
                <a:ext uri="{FF2B5EF4-FFF2-40B4-BE49-F238E27FC236}">
                  <a16:creationId xmlns:a16="http://schemas.microsoft.com/office/drawing/2014/main" id="{E080C001-0ABD-A24A-9446-78226DBAF455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Complemento 6">
              <a:extLst>
                <a:ext uri="{FF2B5EF4-FFF2-40B4-BE49-F238E27FC236}">
                  <a16:creationId xmlns:a16="http://schemas.microsoft.com/office/drawing/2014/main" id="{E080C001-0ABD-A24A-9446-78226DBAF45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955674</xdr:colOff>
      <xdr:row>1</xdr:row>
      <xdr:rowOff>135466</xdr:rowOff>
    </xdr:from>
    <xdr:to>
      <xdr:col>8</xdr:col>
      <xdr:colOff>114300</xdr:colOff>
      <xdr:row>12</xdr:row>
      <xdr:rowOff>172155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Complemento 6">
              <a:extLst>
                <a:ext uri="{FF2B5EF4-FFF2-40B4-BE49-F238E27FC236}">
                  <a16:creationId xmlns:a16="http://schemas.microsoft.com/office/drawing/2014/main" id="{68470350-3553-224F-9E18-0DCF953A1DA4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Complemento 6">
              <a:extLst>
                <a:ext uri="{FF2B5EF4-FFF2-40B4-BE49-F238E27FC236}">
                  <a16:creationId xmlns:a16="http://schemas.microsoft.com/office/drawing/2014/main" id="{68470350-3553-224F-9E18-0DCF953A1D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412749</xdr:colOff>
      <xdr:row>0</xdr:row>
      <xdr:rowOff>21166</xdr:rowOff>
    </xdr:from>
    <xdr:to>
      <xdr:col>11</xdr:col>
      <xdr:colOff>387350</xdr:colOff>
      <xdr:row>11</xdr:row>
      <xdr:rowOff>45155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Complemento 6">
              <a:extLst>
                <a:ext uri="{FF2B5EF4-FFF2-40B4-BE49-F238E27FC236}">
                  <a16:creationId xmlns:a16="http://schemas.microsoft.com/office/drawing/2014/main" id="{F0B317FA-C05F-354A-A8AE-275454BF4659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Complemento 6">
              <a:extLst>
                <a:ext uri="{FF2B5EF4-FFF2-40B4-BE49-F238E27FC236}">
                  <a16:creationId xmlns:a16="http://schemas.microsoft.com/office/drawing/2014/main" id="{F0B317FA-C05F-354A-A8AE-275454BF465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412749</xdr:colOff>
      <xdr:row>0</xdr:row>
      <xdr:rowOff>21166</xdr:rowOff>
    </xdr:from>
    <xdr:to>
      <xdr:col>11</xdr:col>
      <xdr:colOff>387350</xdr:colOff>
      <xdr:row>11</xdr:row>
      <xdr:rowOff>45155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Complemento 6">
              <a:extLst>
                <a:ext uri="{FF2B5EF4-FFF2-40B4-BE49-F238E27FC236}">
                  <a16:creationId xmlns:a16="http://schemas.microsoft.com/office/drawing/2014/main" id="{42FD4630-54B6-084E-9278-0274016EA945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Complemento 6">
              <a:extLst>
                <a:ext uri="{FF2B5EF4-FFF2-40B4-BE49-F238E27FC236}">
                  <a16:creationId xmlns:a16="http://schemas.microsoft.com/office/drawing/2014/main" id="{42FD4630-54B6-084E-9278-0274016EA9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412749</xdr:colOff>
      <xdr:row>0</xdr:row>
      <xdr:rowOff>21166</xdr:rowOff>
    </xdr:from>
    <xdr:to>
      <xdr:col>11</xdr:col>
      <xdr:colOff>387350</xdr:colOff>
      <xdr:row>11</xdr:row>
      <xdr:rowOff>45155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Complemento 6">
              <a:extLst>
                <a:ext uri="{FF2B5EF4-FFF2-40B4-BE49-F238E27FC236}">
                  <a16:creationId xmlns:a16="http://schemas.microsoft.com/office/drawing/2014/main" id="{07AE1374-475B-CD46-A30C-E3BD92E45EC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Complemento 6">
              <a:extLst>
                <a:ext uri="{FF2B5EF4-FFF2-40B4-BE49-F238E27FC236}">
                  <a16:creationId xmlns:a16="http://schemas.microsoft.com/office/drawing/2014/main" id="{07AE1374-475B-CD46-A30C-E3BD92E45EC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_rels/webextension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_rels/webextension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18E44A42-99C0-9309-89F4-B8EAB5AE21CB}">
  <we:reference id="wa102957665" version="1.3.0.0" store="es-ES" storeType="OMEX"/>
  <we:alternateReferences>
    <we:reference id="WA102957665" version="1.3.0.0" store="" storeType="OMEX"/>
  </we:alternateReferences>
  <we:properties>
    <we:property name="opt_month" value="&quot;2025-06-01&quot;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E080C001-0ABD-A24A-9446-78226DBAF455}">
  <we:reference id="wa102957665" version="1.3.0.0" store="es-ES" storeType="OMEX"/>
  <we:alternateReferences>
    <we:reference id="WA102957665" version="1.3.0.0" store="" storeType="OMEX"/>
  </we:alternateReferences>
  <we:properties>
    <we:property name="opt_month" value="&quot;2025-07-01&quot;"/>
  </we:properties>
  <we:bindings/>
  <we:snapshot xmlns:r="http://schemas.openxmlformats.org/officeDocument/2006/relationships" r:embed="rId1"/>
</we:webextension>
</file>

<file path=xl/webextensions/webextension3.xml><?xml version="1.0" encoding="utf-8"?>
<we:webextension xmlns:we="http://schemas.microsoft.com/office/webextensions/webextension/2010/11" id="{68470350-3553-224F-9E18-0DCF953A1DA4}">
  <we:reference id="wa102957665" version="1.3.0.0" store="es-ES" storeType="OMEX"/>
  <we:alternateReferences>
    <we:reference id="WA102957665" version="1.3.0.0" store="" storeType="OMEX"/>
  </we:alternateReferences>
  <we:properties>
    <we:property name="opt_month" value="&quot;2025-07-01&quot;"/>
  </we:properties>
  <we:bindings/>
  <we:snapshot xmlns:r="http://schemas.openxmlformats.org/officeDocument/2006/relationships" r:embed="rId1"/>
</we:webextension>
</file>

<file path=xl/webextensions/webextension4.xml><?xml version="1.0" encoding="utf-8"?>
<we:webextension xmlns:we="http://schemas.microsoft.com/office/webextensions/webextension/2010/11" id="{F0B317FA-C05F-354A-A8AE-275454BF4659}">
  <we:reference id="wa102957665" version="1.3.0.0" store="es-ES" storeType="OMEX"/>
  <we:alternateReferences>
    <we:reference id="WA102957665" version="1.3.0.0" store="" storeType="OMEX"/>
  </we:alternateReferences>
  <we:properties>
    <we:property name="opt_month" value="&quot;2025-06-01&quot;"/>
  </we:properties>
  <we:bindings/>
  <we:snapshot xmlns:r="http://schemas.openxmlformats.org/officeDocument/2006/relationships" r:embed="rId1"/>
</we:webextension>
</file>

<file path=xl/webextensions/webextension5.xml><?xml version="1.0" encoding="utf-8"?>
<we:webextension xmlns:we="http://schemas.microsoft.com/office/webextensions/webextension/2010/11" id="{42FD4630-54B6-084E-9278-0274016EA945}">
  <we:reference id="wa102957665" version="1.3.0.0" store="es-ES" storeType="OMEX"/>
  <we:alternateReferences>
    <we:reference id="WA102957665" version="1.3.0.0" store="" storeType="OMEX"/>
  </we:alternateReferences>
  <we:properties>
    <we:property name="opt_month" value="&quot;2025-06-01&quot;"/>
  </we:properties>
  <we:bindings/>
  <we:snapshot xmlns:r="http://schemas.openxmlformats.org/officeDocument/2006/relationships" r:embed="rId1"/>
</we:webextension>
</file>

<file path=xl/webextensions/webextension6.xml><?xml version="1.0" encoding="utf-8"?>
<we:webextension xmlns:we="http://schemas.microsoft.com/office/webextensions/webextension/2010/11" id="{07AE1374-475B-CD46-A30C-E3BD92E45EC0}">
  <we:reference id="wa102957665" version="1.3.0.0" store="es-ES" storeType="OMEX"/>
  <we:alternateReferences>
    <we:reference id="WA102957665" version="1.3.0.0" store="" storeType="OMEX"/>
  </we:alternateReferences>
  <we:properties>
    <we:property name="opt_month" value="&quot;2025-06-01&quot;"/>
  </we:properties>
  <we:bindings/>
  <we:snapshot xmlns:r="http://schemas.openxmlformats.org/officeDocument/2006/relationships" r:embed="rId1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0293-A132-4A45-87C5-CF6A3CEEED7B}">
  <dimension ref="A1:V57"/>
  <sheetViews>
    <sheetView topLeftCell="A8" zoomScaleNormal="150" zoomScaleSheetLayoutView="100" workbookViewId="0">
      <selection activeCell="N29" sqref="N29:Q30"/>
    </sheetView>
  </sheetViews>
  <sheetFormatPr defaultColWidth="8.875" defaultRowHeight="15" x14ac:dyDescent="0.2"/>
  <cols>
    <col min="1" max="1" width="15.19921875" bestFit="1" customWidth="1"/>
    <col min="2" max="2" width="12.5078125" bestFit="1" customWidth="1"/>
    <col min="3" max="3" width="9.68359375" bestFit="1" customWidth="1"/>
    <col min="5" max="5" width="11.8359375" bestFit="1" customWidth="1"/>
    <col min="6" max="6" width="28.515625" customWidth="1"/>
    <col min="7" max="7" width="14.125" bestFit="1" customWidth="1"/>
    <col min="8" max="8" width="11.02734375" bestFit="1" customWidth="1"/>
    <col min="9" max="9" width="9.14453125" bestFit="1" customWidth="1"/>
    <col min="12" max="12" width="11.02734375" bestFit="1" customWidth="1"/>
    <col min="14" max="14" width="14.125" bestFit="1" customWidth="1"/>
    <col min="15" max="15" width="11.296875" bestFit="1" customWidth="1"/>
    <col min="16" max="16" width="9.14453125" bestFit="1" customWidth="1"/>
    <col min="19" max="19" width="19.37109375" customWidth="1"/>
    <col min="20" max="20" width="10.0859375" bestFit="1" customWidth="1"/>
    <col min="21" max="21" width="9.4140625" bestFit="1" customWidth="1"/>
  </cols>
  <sheetData>
    <row r="1" spans="1:22" x14ac:dyDescent="0.2">
      <c r="A1" s="47" t="s">
        <v>0</v>
      </c>
      <c r="B1" s="48" t="s">
        <v>1</v>
      </c>
      <c r="C1" s="574" t="s">
        <v>2</v>
      </c>
      <c r="D1" s="48" t="s">
        <v>3</v>
      </c>
      <c r="E1" s="49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"/>
      <c r="T1" s="1"/>
      <c r="U1" s="1"/>
      <c r="V1" s="1"/>
    </row>
    <row r="2" spans="1:22" x14ac:dyDescent="0.2">
      <c r="A2" s="50" t="s">
        <v>5</v>
      </c>
      <c r="B2" s="578">
        <v>55</v>
      </c>
      <c r="C2" s="571" t="s">
        <v>67</v>
      </c>
      <c r="D2" s="571" t="s">
        <v>66</v>
      </c>
      <c r="E2" s="575"/>
      <c r="F2" s="4"/>
      <c r="G2" s="4"/>
      <c r="H2" s="4"/>
      <c r="I2" s="4"/>
      <c r="J2" s="4"/>
      <c r="K2" s="4"/>
      <c r="L2" s="4"/>
      <c r="M2" s="4">
        <v>1500</v>
      </c>
      <c r="N2" s="4"/>
      <c r="O2" s="690" t="s">
        <v>7</v>
      </c>
      <c r="P2" s="691"/>
      <c r="Q2" s="4"/>
      <c r="R2" s="4"/>
      <c r="S2" s="1"/>
      <c r="T2" s="1"/>
      <c r="U2" s="1"/>
      <c r="V2" s="1"/>
    </row>
    <row r="3" spans="1:22" x14ac:dyDescent="0.2">
      <c r="A3" s="50" t="s">
        <v>9</v>
      </c>
      <c r="B3" s="570">
        <v>1060</v>
      </c>
      <c r="C3" s="573">
        <v>45693</v>
      </c>
      <c r="D3" s="571" t="s">
        <v>66</v>
      </c>
      <c r="E3" s="576"/>
      <c r="F3" s="4"/>
      <c r="G3" s="4"/>
      <c r="H3" s="4">
        <v>79</v>
      </c>
      <c r="I3" s="4"/>
      <c r="J3" s="4"/>
      <c r="K3" s="4"/>
      <c r="L3" s="4"/>
      <c r="M3" s="4">
        <v>460</v>
      </c>
      <c r="N3" s="4"/>
      <c r="O3" s="71"/>
      <c r="P3" s="72"/>
      <c r="Q3" s="4"/>
      <c r="R3" s="4"/>
      <c r="S3" s="1"/>
      <c r="T3" s="1"/>
      <c r="U3" s="1"/>
      <c r="V3" s="1"/>
    </row>
    <row r="4" spans="1:22" x14ac:dyDescent="0.2">
      <c r="A4" s="50" t="s">
        <v>12</v>
      </c>
      <c r="B4" s="570">
        <v>780</v>
      </c>
      <c r="C4" s="573" t="s">
        <v>98</v>
      </c>
      <c r="D4" s="571" t="s">
        <v>66</v>
      </c>
      <c r="E4" s="576"/>
      <c r="F4" s="4"/>
      <c r="G4" s="4"/>
      <c r="H4" s="4">
        <v>24</v>
      </c>
      <c r="I4" s="4"/>
      <c r="J4" s="4"/>
      <c r="K4" s="4"/>
      <c r="L4" s="4"/>
      <c r="M4" s="4">
        <v>300</v>
      </c>
      <c r="N4" s="4"/>
      <c r="O4" s="69"/>
      <c r="P4" s="70"/>
      <c r="Q4" s="4"/>
      <c r="R4" s="4"/>
      <c r="S4" s="1"/>
      <c r="T4" s="1"/>
      <c r="U4" s="1"/>
      <c r="V4" s="1"/>
    </row>
    <row r="5" spans="1:22" x14ac:dyDescent="0.2">
      <c r="A5" s="50" t="s">
        <v>17</v>
      </c>
      <c r="B5" s="570">
        <v>1500</v>
      </c>
      <c r="C5" s="573">
        <v>46061</v>
      </c>
      <c r="D5" s="571" t="s">
        <v>66</v>
      </c>
      <c r="E5" s="576"/>
      <c r="F5" s="4"/>
      <c r="G5" s="4"/>
      <c r="H5" s="4">
        <v>28</v>
      </c>
      <c r="I5" s="4"/>
      <c r="J5" s="4"/>
      <c r="K5" s="4"/>
      <c r="L5" s="4"/>
      <c r="M5" s="4">
        <v>175</v>
      </c>
      <c r="N5" s="4"/>
      <c r="O5" s="69"/>
      <c r="P5" s="70"/>
      <c r="Q5" s="4"/>
      <c r="R5" s="4"/>
      <c r="S5" s="1"/>
      <c r="T5" s="1"/>
      <c r="U5" s="1"/>
      <c r="V5" s="1"/>
    </row>
    <row r="6" spans="1:22" x14ac:dyDescent="0.2">
      <c r="A6" s="50" t="s">
        <v>19</v>
      </c>
      <c r="B6" s="570">
        <v>300</v>
      </c>
      <c r="C6" s="573">
        <v>46061</v>
      </c>
      <c r="D6" s="571" t="s">
        <v>66</v>
      </c>
      <c r="E6" s="576"/>
      <c r="F6" s="4"/>
      <c r="G6" s="4"/>
      <c r="H6" s="4">
        <v>17</v>
      </c>
      <c r="I6" s="4"/>
      <c r="J6" s="4"/>
      <c r="K6" s="4"/>
      <c r="L6" s="4"/>
      <c r="M6" s="4"/>
      <c r="N6" s="4"/>
      <c r="O6" s="69"/>
      <c r="P6" s="70"/>
      <c r="Q6" s="4"/>
      <c r="R6" s="4"/>
      <c r="S6" s="1"/>
      <c r="T6" s="1"/>
      <c r="U6" s="1"/>
      <c r="V6" s="1"/>
    </row>
    <row r="7" spans="1:22" x14ac:dyDescent="0.2">
      <c r="A7" s="50" t="s">
        <v>14</v>
      </c>
      <c r="B7" s="570">
        <v>200</v>
      </c>
      <c r="C7" s="573" t="s">
        <v>67</v>
      </c>
      <c r="D7" s="571" t="s">
        <v>66</v>
      </c>
      <c r="E7" s="576"/>
      <c r="F7" s="4"/>
      <c r="G7" s="4"/>
      <c r="H7" s="4">
        <v>26</v>
      </c>
      <c r="I7" s="4"/>
      <c r="J7" s="4"/>
      <c r="K7" s="4"/>
      <c r="L7" s="4"/>
      <c r="M7" s="4"/>
      <c r="N7" s="4"/>
      <c r="O7" s="69"/>
      <c r="P7" s="70"/>
      <c r="Q7" s="4"/>
      <c r="R7" s="4"/>
      <c r="S7" s="1"/>
      <c r="T7" s="1"/>
      <c r="U7" s="1"/>
      <c r="V7" s="1"/>
    </row>
    <row r="8" spans="1:22" x14ac:dyDescent="0.2">
      <c r="A8" s="50" t="s">
        <v>15</v>
      </c>
      <c r="B8" s="5"/>
      <c r="C8" s="572"/>
      <c r="D8" s="6"/>
      <c r="E8" s="576"/>
      <c r="F8" s="4"/>
      <c r="G8" s="4"/>
      <c r="H8" s="4">
        <v>70</v>
      </c>
      <c r="I8" s="4"/>
      <c r="J8" s="4"/>
      <c r="K8" s="4"/>
      <c r="L8" s="4"/>
      <c r="M8" s="4">
        <f>SUM(M2:M7)</f>
        <v>2435</v>
      </c>
      <c r="N8" s="4"/>
      <c r="O8" s="69"/>
      <c r="P8" s="70"/>
      <c r="Q8" s="4"/>
      <c r="R8" s="4"/>
      <c r="S8" s="1"/>
      <c r="T8" s="1"/>
      <c r="U8" s="1"/>
      <c r="V8" s="1"/>
    </row>
    <row r="9" spans="1:22" x14ac:dyDescent="0.2">
      <c r="A9" s="50" t="s">
        <v>8</v>
      </c>
      <c r="B9" s="570">
        <v>350</v>
      </c>
      <c r="C9" s="573" t="s">
        <v>67</v>
      </c>
      <c r="D9" s="571" t="s">
        <v>66</v>
      </c>
      <c r="E9" s="576"/>
      <c r="F9" s="4"/>
      <c r="G9" s="4"/>
      <c r="H9" s="4">
        <v>72</v>
      </c>
      <c r="I9" s="4"/>
      <c r="J9" s="4"/>
      <c r="K9" s="4"/>
      <c r="L9" s="4"/>
      <c r="M9" s="4"/>
      <c r="N9" s="4"/>
      <c r="O9" s="69"/>
      <c r="P9" s="70"/>
      <c r="Q9" s="4"/>
      <c r="R9" s="4"/>
      <c r="S9" s="1"/>
      <c r="T9" s="1"/>
      <c r="U9" s="1"/>
      <c r="V9" s="1"/>
    </row>
    <row r="10" spans="1:22" x14ac:dyDescent="0.2">
      <c r="A10" s="50" t="s">
        <v>11</v>
      </c>
      <c r="B10" s="570">
        <v>500</v>
      </c>
      <c r="C10" s="573" t="s">
        <v>98</v>
      </c>
      <c r="D10" s="571" t="s">
        <v>66</v>
      </c>
      <c r="E10" s="576"/>
      <c r="F10" s="3"/>
      <c r="G10" s="3"/>
      <c r="H10" s="4">
        <v>19</v>
      </c>
      <c r="I10" s="4"/>
      <c r="J10" s="4"/>
      <c r="K10" s="4"/>
      <c r="L10" s="4"/>
      <c r="M10" s="4"/>
      <c r="N10" s="4"/>
      <c r="O10" s="69"/>
      <c r="P10" s="70"/>
      <c r="Q10" s="4"/>
      <c r="R10" s="4"/>
      <c r="S10" s="1"/>
      <c r="T10" s="1"/>
      <c r="U10" s="1"/>
      <c r="V10" s="1"/>
    </row>
    <row r="11" spans="1:22" x14ac:dyDescent="0.2">
      <c r="A11" s="50" t="s">
        <v>10</v>
      </c>
      <c r="B11" s="570">
        <v>200</v>
      </c>
      <c r="C11" s="573" t="s">
        <v>98</v>
      </c>
      <c r="D11" s="571" t="s">
        <v>66</v>
      </c>
      <c r="E11" s="576"/>
      <c r="F11" s="4"/>
      <c r="G11" s="4"/>
      <c r="H11" s="4">
        <v>21</v>
      </c>
      <c r="I11" s="4"/>
      <c r="J11" s="4"/>
      <c r="K11" s="4"/>
      <c r="L11" s="4"/>
      <c r="M11" s="4"/>
      <c r="N11" s="4"/>
      <c r="O11" s="69"/>
      <c r="P11" s="70"/>
      <c r="Q11" s="4"/>
      <c r="R11" s="4"/>
      <c r="S11" s="1"/>
      <c r="T11" s="1"/>
      <c r="U11" s="1"/>
      <c r="V11" s="1"/>
    </row>
    <row r="12" spans="1:22" x14ac:dyDescent="0.2">
      <c r="A12" s="50" t="s">
        <v>18</v>
      </c>
      <c r="B12" s="570">
        <v>1300</v>
      </c>
      <c r="C12" s="573">
        <v>46056</v>
      </c>
      <c r="D12" s="571" t="s">
        <v>66</v>
      </c>
      <c r="E12" s="576"/>
      <c r="F12" s="4"/>
      <c r="G12" s="4"/>
      <c r="H12" s="4">
        <v>13</v>
      </c>
      <c r="I12" s="4"/>
      <c r="J12" s="4"/>
      <c r="K12" s="4"/>
      <c r="L12" s="4"/>
      <c r="M12" s="4"/>
      <c r="N12" s="4"/>
      <c r="O12" s="69"/>
      <c r="P12" s="70"/>
      <c r="Q12" s="4"/>
      <c r="R12" s="4"/>
      <c r="S12" s="1"/>
      <c r="T12" s="1"/>
      <c r="U12" s="1"/>
      <c r="V12" s="1"/>
    </row>
    <row r="13" spans="1:22" x14ac:dyDescent="0.2">
      <c r="A13" s="50" t="s">
        <v>68</v>
      </c>
      <c r="B13" s="570">
        <v>142</v>
      </c>
      <c r="C13" s="573" t="s">
        <v>67</v>
      </c>
      <c r="D13" s="571" t="s">
        <v>66</v>
      </c>
      <c r="E13" s="576"/>
      <c r="F13" s="4"/>
      <c r="G13" s="4"/>
      <c r="H13" s="4">
        <v>50</v>
      </c>
      <c r="I13" s="4"/>
      <c r="J13" s="4"/>
      <c r="K13" s="4"/>
      <c r="L13" s="4"/>
      <c r="M13" s="4"/>
      <c r="N13" s="4"/>
      <c r="O13" s="69"/>
      <c r="P13" s="70"/>
      <c r="Q13" s="4"/>
      <c r="R13" s="4"/>
      <c r="S13" s="1"/>
      <c r="T13" s="1"/>
      <c r="U13" s="1"/>
      <c r="V13" s="1"/>
    </row>
    <row r="14" spans="1:22" x14ac:dyDescent="0.2">
      <c r="A14" s="50" t="s">
        <v>69</v>
      </c>
      <c r="B14" s="570">
        <v>600</v>
      </c>
      <c r="C14" s="573">
        <v>46060</v>
      </c>
      <c r="D14" s="571" t="s">
        <v>66</v>
      </c>
      <c r="E14" s="576"/>
      <c r="F14" s="4"/>
      <c r="G14" s="4"/>
      <c r="H14" s="4">
        <v>18</v>
      </c>
      <c r="I14" s="4"/>
      <c r="J14" s="4"/>
      <c r="K14" s="4"/>
      <c r="L14" s="4"/>
      <c r="M14" s="4"/>
      <c r="N14" s="4"/>
      <c r="O14" s="69"/>
      <c r="P14" s="70"/>
      <c r="Q14" s="4"/>
      <c r="R14" s="4"/>
      <c r="S14" s="1"/>
      <c r="T14" s="1"/>
      <c r="U14" s="1"/>
      <c r="V14" s="1"/>
    </row>
    <row r="15" spans="1:22" x14ac:dyDescent="0.2">
      <c r="A15" s="50" t="s">
        <v>87</v>
      </c>
      <c r="B15" s="570">
        <v>500</v>
      </c>
      <c r="C15" s="573" t="s">
        <v>67</v>
      </c>
      <c r="D15" s="571" t="s">
        <v>66</v>
      </c>
      <c r="E15" s="576"/>
      <c r="F15" s="4"/>
      <c r="G15" s="4"/>
      <c r="H15" s="4">
        <v>18</v>
      </c>
      <c r="I15" s="4"/>
      <c r="J15" s="4"/>
      <c r="K15" s="4"/>
      <c r="L15" s="4"/>
      <c r="M15" s="4"/>
      <c r="N15" s="4"/>
      <c r="O15" s="69"/>
      <c r="P15" s="70"/>
      <c r="Q15" s="4"/>
      <c r="R15" s="4"/>
      <c r="S15" s="1"/>
      <c r="T15" s="1"/>
      <c r="U15" s="1"/>
      <c r="V15" s="1"/>
    </row>
    <row r="16" spans="1:22" x14ac:dyDescent="0.2">
      <c r="A16" s="579" t="s">
        <v>97</v>
      </c>
      <c r="B16" s="582">
        <v>1000</v>
      </c>
      <c r="C16" s="583">
        <v>46061</v>
      </c>
      <c r="D16" s="584" t="s">
        <v>66</v>
      </c>
      <c r="E16" s="580"/>
      <c r="F16" s="4"/>
      <c r="G16" s="4"/>
      <c r="H16" s="4">
        <v>19</v>
      </c>
      <c r="I16" s="4"/>
      <c r="J16" s="4"/>
      <c r="K16" s="4"/>
      <c r="L16" s="4"/>
      <c r="M16" s="4"/>
      <c r="N16" s="4"/>
      <c r="O16" s="69"/>
      <c r="P16" s="70"/>
      <c r="Q16" s="4"/>
      <c r="R16" s="4"/>
      <c r="S16" s="1"/>
      <c r="T16" s="1"/>
      <c r="U16" s="1"/>
      <c r="V16" s="1"/>
    </row>
    <row r="17" spans="1:22" x14ac:dyDescent="0.2">
      <c r="A17" s="579" t="s">
        <v>103</v>
      </c>
      <c r="B17" s="582">
        <v>460</v>
      </c>
      <c r="C17" s="583">
        <v>46061</v>
      </c>
      <c r="D17" s="584" t="s">
        <v>66</v>
      </c>
      <c r="E17" s="580"/>
      <c r="F17" s="4"/>
      <c r="G17" s="4"/>
      <c r="H17" s="4">
        <v>107</v>
      </c>
      <c r="I17" s="4"/>
      <c r="J17" s="4"/>
      <c r="K17" s="4"/>
      <c r="L17" s="4"/>
      <c r="M17" s="4"/>
      <c r="N17" s="4"/>
      <c r="O17" s="69"/>
      <c r="P17" s="70"/>
      <c r="Q17" s="4"/>
      <c r="R17" s="4"/>
      <c r="S17" s="1"/>
      <c r="T17" s="1"/>
      <c r="U17" s="1"/>
      <c r="V17" s="1"/>
    </row>
    <row r="18" spans="1:22" ht="15.75" thickBot="1" x14ac:dyDescent="0.25">
      <c r="A18" s="51" t="s">
        <v>88</v>
      </c>
      <c r="B18" s="585">
        <v>177</v>
      </c>
      <c r="C18" s="586">
        <v>46061</v>
      </c>
      <c r="D18" s="587" t="s">
        <v>66</v>
      </c>
      <c r="E18" s="577"/>
      <c r="F18" s="4"/>
      <c r="G18" s="4"/>
      <c r="H18" s="4"/>
      <c r="I18" s="4"/>
      <c r="J18" s="4"/>
      <c r="K18" s="4"/>
      <c r="L18" s="4" t="str">
        <f>SERVICIOS!B3</f>
        <v>3379846 6</v>
      </c>
      <c r="M18" s="4"/>
      <c r="N18" s="4"/>
      <c r="O18" s="69"/>
      <c r="P18" s="70"/>
      <c r="Q18" s="4"/>
      <c r="R18" s="4"/>
      <c r="S18" s="1"/>
      <c r="T18" s="1"/>
      <c r="U18" s="1"/>
      <c r="V18" s="1"/>
    </row>
    <row r="19" spans="1:22" x14ac:dyDescent="0.2">
      <c r="A19" s="8"/>
      <c r="B19" s="14">
        <f>SUM(B2:B18)</f>
        <v>9124</v>
      </c>
      <c r="C19" s="8"/>
      <c r="D19" s="8"/>
      <c r="E19" s="14">
        <f>SUM(E2:E18)</f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"/>
      <c r="T19" s="1"/>
      <c r="U19" s="1"/>
      <c r="V19" s="1"/>
    </row>
    <row r="20" spans="1:22" x14ac:dyDescent="0.2">
      <c r="A20" s="8"/>
      <c r="B20" s="8"/>
      <c r="C20" s="8"/>
      <c r="D20" s="8"/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1"/>
      <c r="T20" s="1"/>
      <c r="U20" s="1"/>
      <c r="V20" s="1"/>
    </row>
    <row r="21" spans="1:22" x14ac:dyDescent="0.2">
      <c r="A21" s="8"/>
      <c r="B21" s="8"/>
      <c r="C21" s="8"/>
      <c r="D21" s="8"/>
      <c r="E21" s="8"/>
      <c r="F21" s="4"/>
      <c r="G21" s="4"/>
      <c r="H21" s="4">
        <f>SUM(H3:H20)</f>
        <v>581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1"/>
      <c r="T21" s="1"/>
      <c r="U21" s="1"/>
      <c r="V21" s="1"/>
    </row>
    <row r="22" spans="1:22" x14ac:dyDescent="0.2">
      <c r="A22" s="8"/>
      <c r="B22" s="8"/>
      <c r="C22" s="8"/>
      <c r="D22" s="8"/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1"/>
      <c r="T22" s="1"/>
      <c r="U22" s="1"/>
      <c r="V22" s="1"/>
    </row>
    <row r="23" spans="1:22" x14ac:dyDescent="0.2">
      <c r="A23" s="8"/>
      <c r="B23" s="8"/>
      <c r="C23" s="8"/>
      <c r="D23" s="8"/>
      <c r="E23" s="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1"/>
      <c r="T23" s="1"/>
      <c r="U23" s="1"/>
      <c r="V23" s="1"/>
    </row>
    <row r="24" spans="1:22" x14ac:dyDescent="0.2">
      <c r="A24" s="8"/>
      <c r="B24" s="8"/>
      <c r="C24" s="8"/>
      <c r="D24" s="8"/>
      <c r="E24" s="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1"/>
      <c r="T24" s="1"/>
      <c r="U24" s="1"/>
      <c r="V24" s="1"/>
    </row>
    <row r="25" spans="1:22" x14ac:dyDescent="0.2">
      <c r="A25" s="8"/>
      <c r="B25" s="75">
        <f>T47-B10-B12</f>
        <v>-535</v>
      </c>
      <c r="C25" s="8"/>
      <c r="D25" s="8"/>
      <c r="E25" s="8"/>
      <c r="F25" s="58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1"/>
      <c r="T25" s="1"/>
      <c r="U25" s="1"/>
      <c r="V25" s="1"/>
    </row>
    <row r="26" spans="1:22" ht="15.75" thickBot="1" x14ac:dyDescent="0.25">
      <c r="A26" s="8"/>
      <c r="B26" s="8"/>
      <c r="C26" s="8"/>
      <c r="D26" s="8"/>
      <c r="E26" s="8"/>
      <c r="F26" s="4"/>
      <c r="G26" s="4"/>
      <c r="H26" s="4"/>
      <c r="I26" s="4"/>
      <c r="J26" s="4"/>
      <c r="K26" s="4"/>
      <c r="L26" s="4"/>
      <c r="M26" s="52"/>
      <c r="N26" s="4"/>
      <c r="O26" s="4"/>
      <c r="P26" s="4"/>
      <c r="Q26" s="4"/>
      <c r="R26" s="4"/>
      <c r="S26" s="1"/>
      <c r="T26" s="1"/>
      <c r="U26" s="1"/>
      <c r="V26" s="1"/>
    </row>
    <row r="27" spans="1:22" ht="15.75" thickBot="1" x14ac:dyDescent="0.25">
      <c r="A27" s="8"/>
      <c r="B27" s="8"/>
      <c r="C27" s="8"/>
      <c r="D27" s="8"/>
      <c r="E27" s="8"/>
      <c r="F27" s="4"/>
      <c r="G27" s="685" t="s">
        <v>20</v>
      </c>
      <c r="H27" s="686"/>
      <c r="I27" s="686"/>
      <c r="J27" s="686"/>
      <c r="K27" s="687"/>
      <c r="L27" s="20" t="s">
        <v>21</v>
      </c>
      <c r="M27" s="63"/>
      <c r="N27" s="688" t="s">
        <v>22</v>
      </c>
      <c r="O27" s="689"/>
      <c r="P27" s="689"/>
      <c r="Q27" s="689"/>
      <c r="R27" s="689"/>
      <c r="S27" s="31" t="s">
        <v>21</v>
      </c>
      <c r="T27" s="1"/>
      <c r="U27" s="1"/>
      <c r="V27" s="1"/>
    </row>
    <row r="28" spans="1:22" x14ac:dyDescent="0.2">
      <c r="A28" s="682" t="s">
        <v>23</v>
      </c>
      <c r="B28" s="683"/>
      <c r="C28" s="683"/>
      <c r="D28" s="683"/>
      <c r="E28" s="684"/>
      <c r="F28" s="4"/>
      <c r="G28" s="21" t="s">
        <v>24</v>
      </c>
      <c r="H28" s="15" t="s">
        <v>1</v>
      </c>
      <c r="I28" s="15" t="s">
        <v>2</v>
      </c>
      <c r="J28" s="15" t="s">
        <v>25</v>
      </c>
      <c r="K28" s="15" t="s">
        <v>3</v>
      </c>
      <c r="L28" s="22"/>
      <c r="M28" s="63"/>
      <c r="N28" s="21" t="s">
        <v>24</v>
      </c>
      <c r="O28" s="15" t="s">
        <v>1</v>
      </c>
      <c r="P28" s="15" t="s">
        <v>2</v>
      </c>
      <c r="Q28" s="15" t="s">
        <v>25</v>
      </c>
      <c r="R28" s="15" t="s">
        <v>6</v>
      </c>
      <c r="S28" s="32"/>
      <c r="T28" s="1"/>
      <c r="U28" s="1"/>
      <c r="V28" s="1"/>
    </row>
    <row r="29" spans="1:22" x14ac:dyDescent="0.2">
      <c r="A29" s="53" t="s">
        <v>24</v>
      </c>
      <c r="B29" s="9" t="s">
        <v>1</v>
      </c>
      <c r="C29" s="9" t="s">
        <v>2</v>
      </c>
      <c r="D29" s="10" t="s">
        <v>25</v>
      </c>
      <c r="E29" s="54"/>
      <c r="F29" s="4"/>
      <c r="G29" s="566" t="s">
        <v>70</v>
      </c>
      <c r="H29" s="35">
        <v>61</v>
      </c>
      <c r="I29" s="16"/>
      <c r="J29" s="568" t="s">
        <v>71</v>
      </c>
      <c r="K29" s="17"/>
      <c r="L29" s="23"/>
      <c r="M29" s="63"/>
      <c r="N29" s="566" t="s">
        <v>76</v>
      </c>
      <c r="O29" s="35">
        <v>114</v>
      </c>
      <c r="P29" s="16"/>
      <c r="Q29" s="568" t="s">
        <v>77</v>
      </c>
      <c r="R29" s="17"/>
      <c r="S29" s="32"/>
      <c r="T29" s="1"/>
      <c r="U29" s="1"/>
      <c r="V29" s="1"/>
    </row>
    <row r="30" spans="1:22" x14ac:dyDescent="0.2">
      <c r="A30" s="566" t="s">
        <v>70</v>
      </c>
      <c r="B30" s="5">
        <v>1082</v>
      </c>
      <c r="C30" s="567">
        <v>45784</v>
      </c>
      <c r="D30" s="568" t="s">
        <v>71</v>
      </c>
      <c r="E30" s="569"/>
      <c r="F30" s="4"/>
      <c r="G30" s="566" t="s">
        <v>72</v>
      </c>
      <c r="H30" s="35">
        <v>130</v>
      </c>
      <c r="I30" s="16"/>
      <c r="J30" s="568" t="s">
        <v>73</v>
      </c>
      <c r="K30" s="17"/>
      <c r="L30" s="23"/>
      <c r="M30" s="63"/>
      <c r="N30" s="566" t="s">
        <v>78</v>
      </c>
      <c r="O30" s="35">
        <v>175</v>
      </c>
      <c r="P30" s="16"/>
      <c r="Q30" s="568" t="s">
        <v>77</v>
      </c>
      <c r="R30" s="17"/>
      <c r="S30" s="32"/>
      <c r="T30" s="1"/>
      <c r="U30" s="1"/>
      <c r="V30" s="1"/>
    </row>
    <row r="31" spans="1:22" x14ac:dyDescent="0.2">
      <c r="A31" s="566" t="s">
        <v>72</v>
      </c>
      <c r="B31" s="5">
        <v>1837</v>
      </c>
      <c r="C31" s="567" t="s">
        <v>84</v>
      </c>
      <c r="D31" s="568" t="s">
        <v>73</v>
      </c>
      <c r="E31" s="57"/>
      <c r="F31" s="4"/>
      <c r="G31" s="566" t="s">
        <v>74</v>
      </c>
      <c r="H31" s="35">
        <v>104</v>
      </c>
      <c r="I31" s="16"/>
      <c r="J31" s="568" t="s">
        <v>75</v>
      </c>
      <c r="K31" s="17"/>
      <c r="L31" s="23"/>
      <c r="M31" s="63"/>
      <c r="N31" s="566" t="s">
        <v>79</v>
      </c>
      <c r="O31" s="35">
        <v>579</v>
      </c>
      <c r="P31" s="16"/>
      <c r="Q31" s="568">
        <v>1</v>
      </c>
      <c r="R31" s="17"/>
      <c r="S31" s="32"/>
      <c r="T31" s="1"/>
      <c r="U31" s="1"/>
      <c r="V31" s="1"/>
    </row>
    <row r="32" spans="1:22" x14ac:dyDescent="0.2">
      <c r="A32" s="566" t="s">
        <v>74</v>
      </c>
      <c r="B32" s="5">
        <v>2097</v>
      </c>
      <c r="C32" s="567">
        <v>45971</v>
      </c>
      <c r="D32" s="568" t="s">
        <v>75</v>
      </c>
      <c r="E32" s="57"/>
      <c r="F32" s="4"/>
      <c r="G32" s="566" t="s">
        <v>76</v>
      </c>
      <c r="H32" s="35">
        <v>114</v>
      </c>
      <c r="I32" s="16"/>
      <c r="J32" s="568" t="s">
        <v>77</v>
      </c>
      <c r="K32" s="17"/>
      <c r="L32" s="23"/>
      <c r="M32" s="63"/>
      <c r="N32" s="566" t="s">
        <v>19</v>
      </c>
      <c r="O32" s="35">
        <v>88</v>
      </c>
      <c r="P32" s="16"/>
      <c r="Q32" s="568">
        <v>1</v>
      </c>
      <c r="R32" s="17"/>
      <c r="S32" s="32"/>
      <c r="T32" s="1"/>
      <c r="U32" s="1"/>
      <c r="V32" s="1"/>
    </row>
    <row r="33" spans="1:22" x14ac:dyDescent="0.2">
      <c r="A33" s="566" t="s">
        <v>76</v>
      </c>
      <c r="B33" s="5">
        <v>1943</v>
      </c>
      <c r="C33" s="567" t="s">
        <v>85</v>
      </c>
      <c r="D33" s="568" t="s">
        <v>77</v>
      </c>
      <c r="E33" s="57"/>
      <c r="F33" s="4"/>
      <c r="G33" s="566" t="s">
        <v>78</v>
      </c>
      <c r="H33" s="35">
        <v>175</v>
      </c>
      <c r="I33" s="16"/>
      <c r="J33" s="568" t="s">
        <v>77</v>
      </c>
      <c r="K33" s="17"/>
      <c r="L33" s="23"/>
      <c r="M33" s="63"/>
      <c r="N33" s="566" t="s">
        <v>82</v>
      </c>
      <c r="O33" s="35">
        <v>113</v>
      </c>
      <c r="P33" s="16"/>
      <c r="Q33" s="568">
        <v>1</v>
      </c>
      <c r="R33" s="17"/>
      <c r="S33" s="73"/>
      <c r="T33" s="39"/>
      <c r="U33" s="1"/>
      <c r="V33" s="1"/>
    </row>
    <row r="34" spans="1:22" ht="16.5" customHeight="1" x14ac:dyDescent="0.2">
      <c r="A34" s="566" t="s">
        <v>78</v>
      </c>
      <c r="B34" s="5">
        <v>3025</v>
      </c>
      <c r="C34" s="567" t="s">
        <v>86</v>
      </c>
      <c r="D34" s="568" t="s">
        <v>77</v>
      </c>
      <c r="E34" s="57"/>
      <c r="F34" s="4"/>
      <c r="G34" s="566" t="s">
        <v>79</v>
      </c>
      <c r="H34" s="35">
        <v>579</v>
      </c>
      <c r="I34" s="16"/>
      <c r="J34" s="568">
        <v>1</v>
      </c>
      <c r="K34" s="17"/>
      <c r="L34" s="23"/>
      <c r="M34" s="63"/>
      <c r="N34" s="566" t="s">
        <v>19</v>
      </c>
      <c r="O34" s="5">
        <v>94</v>
      </c>
      <c r="P34" s="567" t="s">
        <v>99</v>
      </c>
      <c r="Q34" s="568">
        <v>1</v>
      </c>
      <c r="R34" s="17"/>
      <c r="S34" s="32" t="s">
        <v>65</v>
      </c>
      <c r="T34" s="39"/>
      <c r="U34" s="1"/>
      <c r="V34" s="1"/>
    </row>
    <row r="35" spans="1:22" x14ac:dyDescent="0.2">
      <c r="A35" s="566" t="s">
        <v>79</v>
      </c>
      <c r="B35" s="5">
        <v>1158</v>
      </c>
      <c r="C35" s="567" t="s">
        <v>80</v>
      </c>
      <c r="D35" s="568">
        <v>1</v>
      </c>
      <c r="E35" s="57"/>
      <c r="F35" s="63"/>
      <c r="G35" s="566" t="s">
        <v>19</v>
      </c>
      <c r="H35" s="35">
        <v>88</v>
      </c>
      <c r="I35" s="16"/>
      <c r="J35" s="568">
        <v>1</v>
      </c>
      <c r="K35" s="17"/>
      <c r="L35" s="23"/>
      <c r="M35" s="63"/>
      <c r="N35" s="566"/>
      <c r="O35" s="5"/>
      <c r="P35" s="567"/>
      <c r="Q35" s="568"/>
      <c r="R35" s="17"/>
      <c r="S35" s="32"/>
      <c r="T35" s="1"/>
      <c r="U35" s="1"/>
      <c r="V35" s="1"/>
    </row>
    <row r="36" spans="1:22" x14ac:dyDescent="0.2">
      <c r="A36" s="566" t="s">
        <v>19</v>
      </c>
      <c r="B36" s="5">
        <v>177</v>
      </c>
      <c r="C36" s="567" t="s">
        <v>81</v>
      </c>
      <c r="D36" s="568">
        <v>1</v>
      </c>
      <c r="E36" s="57"/>
      <c r="F36" s="64"/>
      <c r="G36" s="566" t="s">
        <v>82</v>
      </c>
      <c r="H36" s="35">
        <v>113</v>
      </c>
      <c r="I36" s="16"/>
      <c r="J36" s="568">
        <v>1</v>
      </c>
      <c r="K36" s="17"/>
      <c r="L36" s="23"/>
      <c r="M36" s="63"/>
      <c r="N36" s="566" t="s">
        <v>101</v>
      </c>
      <c r="O36" s="5">
        <v>102</v>
      </c>
      <c r="P36" s="567" t="s">
        <v>102</v>
      </c>
      <c r="Q36" s="568">
        <v>26</v>
      </c>
      <c r="R36" s="17"/>
      <c r="S36" s="32"/>
      <c r="T36" s="1"/>
      <c r="U36" s="1"/>
      <c r="V36" s="1"/>
    </row>
    <row r="37" spans="1:22" x14ac:dyDescent="0.2">
      <c r="A37" s="566" t="s">
        <v>82</v>
      </c>
      <c r="B37" s="5">
        <v>227</v>
      </c>
      <c r="C37" s="567" t="s">
        <v>83</v>
      </c>
      <c r="D37" s="568">
        <v>1</v>
      </c>
      <c r="E37" s="57"/>
      <c r="F37" s="63"/>
      <c r="G37" s="566" t="s">
        <v>19</v>
      </c>
      <c r="H37" s="5">
        <v>93</v>
      </c>
      <c r="I37" s="567" t="s">
        <v>99</v>
      </c>
      <c r="J37" s="568">
        <v>1</v>
      </c>
      <c r="K37" s="17"/>
      <c r="L37" s="23"/>
      <c r="M37" s="63"/>
      <c r="N37" s="24"/>
      <c r="O37" s="35"/>
      <c r="P37" s="16"/>
      <c r="Q37" s="17"/>
      <c r="R37" s="17"/>
      <c r="S37" s="32"/>
      <c r="T37" s="1"/>
      <c r="U37" s="1"/>
      <c r="V37" s="1"/>
    </row>
    <row r="38" spans="1:22" x14ac:dyDescent="0.2">
      <c r="A38" s="566" t="s">
        <v>19</v>
      </c>
      <c r="B38" s="5">
        <v>187</v>
      </c>
      <c r="C38" s="567" t="s">
        <v>99</v>
      </c>
      <c r="D38" s="568">
        <v>1</v>
      </c>
      <c r="E38" s="57"/>
      <c r="F38" s="63"/>
      <c r="G38" s="566" t="s">
        <v>100</v>
      </c>
      <c r="H38" s="5">
        <v>78</v>
      </c>
      <c r="I38" s="567" t="s">
        <v>98</v>
      </c>
      <c r="J38" s="568">
        <v>1</v>
      </c>
      <c r="K38" s="17"/>
      <c r="L38" s="23"/>
      <c r="M38" s="63"/>
      <c r="N38" s="24"/>
      <c r="O38" s="35"/>
      <c r="P38" s="16"/>
      <c r="Q38" s="17"/>
      <c r="R38" s="17"/>
      <c r="S38" s="32"/>
      <c r="T38" s="1"/>
      <c r="U38" s="2"/>
      <c r="V38" s="1"/>
    </row>
    <row r="39" spans="1:22" x14ac:dyDescent="0.2">
      <c r="A39" s="566" t="s">
        <v>100</v>
      </c>
      <c r="B39" s="5">
        <v>78</v>
      </c>
      <c r="C39" s="567" t="s">
        <v>98</v>
      </c>
      <c r="D39" s="568">
        <v>1</v>
      </c>
      <c r="E39" s="57"/>
      <c r="F39" s="63"/>
      <c r="G39" s="566" t="s">
        <v>101</v>
      </c>
      <c r="H39" s="5">
        <v>102</v>
      </c>
      <c r="I39" s="567" t="s">
        <v>102</v>
      </c>
      <c r="J39" s="568">
        <v>26</v>
      </c>
      <c r="K39" s="17"/>
      <c r="L39" s="23"/>
      <c r="M39" s="63"/>
      <c r="N39" s="24"/>
      <c r="O39" s="35"/>
      <c r="P39" s="16"/>
      <c r="Q39" s="17"/>
      <c r="R39" s="17"/>
      <c r="S39" s="32"/>
      <c r="T39" s="1"/>
      <c r="U39" s="1"/>
      <c r="V39" s="1"/>
    </row>
    <row r="40" spans="1:22" x14ac:dyDescent="0.2">
      <c r="A40" s="566" t="s">
        <v>101</v>
      </c>
      <c r="B40" s="5">
        <v>204</v>
      </c>
      <c r="C40" s="567" t="s">
        <v>102</v>
      </c>
      <c r="D40" s="568">
        <v>26</v>
      </c>
      <c r="E40" s="57"/>
      <c r="F40" s="4"/>
      <c r="G40" s="24"/>
      <c r="H40" s="35"/>
      <c r="I40" s="17"/>
      <c r="J40" s="17"/>
      <c r="K40" s="17"/>
      <c r="L40" s="23"/>
      <c r="M40" s="63"/>
      <c r="N40" s="24"/>
      <c r="O40" s="35"/>
      <c r="P40" s="17"/>
      <c r="Q40" s="17"/>
      <c r="R40" s="17"/>
      <c r="S40" s="32"/>
      <c r="T40" s="1"/>
      <c r="U40" s="1"/>
      <c r="V40" s="1"/>
    </row>
    <row r="41" spans="1:22" x14ac:dyDescent="0.2">
      <c r="A41" s="566"/>
      <c r="B41" s="5"/>
      <c r="C41" s="567"/>
      <c r="D41" s="568"/>
      <c r="E41" s="57"/>
      <c r="F41" s="4"/>
      <c r="G41" s="25"/>
      <c r="H41" s="38"/>
      <c r="I41" s="19"/>
      <c r="J41" s="18"/>
      <c r="K41" s="18"/>
      <c r="L41" s="23"/>
      <c r="M41" s="63"/>
      <c r="N41" s="24"/>
      <c r="O41" s="35"/>
      <c r="P41" s="17"/>
      <c r="Q41" s="17"/>
      <c r="R41" s="17"/>
      <c r="S41" s="32"/>
      <c r="T41" s="1"/>
      <c r="U41" s="1"/>
      <c r="V41" s="1"/>
    </row>
    <row r="42" spans="1:22" x14ac:dyDescent="0.2">
      <c r="A42" s="566"/>
      <c r="B42" s="5"/>
      <c r="C42" s="567"/>
      <c r="D42" s="568"/>
      <c r="E42" s="57"/>
      <c r="F42" s="4"/>
      <c r="G42" s="25"/>
      <c r="H42" s="38"/>
      <c r="I42" s="19"/>
      <c r="J42" s="18"/>
      <c r="K42" s="18"/>
      <c r="L42" s="23"/>
      <c r="M42" s="63"/>
      <c r="N42" s="24"/>
      <c r="O42" s="35"/>
      <c r="P42" s="17"/>
      <c r="Q42" s="17"/>
      <c r="R42" s="17"/>
      <c r="S42" s="32"/>
      <c r="T42" s="1"/>
      <c r="U42" s="1"/>
      <c r="V42" s="1"/>
    </row>
    <row r="43" spans="1:22" x14ac:dyDescent="0.2">
      <c r="A43" s="55"/>
      <c r="B43" s="7"/>
      <c r="C43" s="11"/>
      <c r="D43" s="12"/>
      <c r="E43" s="56"/>
      <c r="F43" s="4"/>
      <c r="G43" s="26"/>
      <c r="H43" s="36"/>
      <c r="I43" s="18"/>
      <c r="J43" s="18"/>
      <c r="K43" s="18"/>
      <c r="L43" s="23"/>
      <c r="M43" s="63"/>
      <c r="N43" s="26"/>
      <c r="O43" s="36"/>
      <c r="P43" s="18"/>
      <c r="Q43" s="18"/>
      <c r="R43" s="18"/>
      <c r="S43" s="32"/>
      <c r="T43" s="1"/>
      <c r="U43" s="1"/>
      <c r="V43" s="1"/>
    </row>
    <row r="44" spans="1:22" ht="15.75" thickBot="1" x14ac:dyDescent="0.25">
      <c r="A44" s="58"/>
      <c r="B44" s="59"/>
      <c r="C44" s="60"/>
      <c r="D44" s="61"/>
      <c r="E44" s="62"/>
      <c r="F44" s="4"/>
      <c r="G44" s="26"/>
      <c r="H44" s="36"/>
      <c r="I44" s="18"/>
      <c r="J44" s="18"/>
      <c r="K44" s="18"/>
      <c r="L44" s="23"/>
      <c r="M44" s="63"/>
      <c r="N44" s="26"/>
      <c r="O44" s="36"/>
      <c r="P44" s="18"/>
      <c r="Q44" s="18"/>
      <c r="R44" s="18"/>
      <c r="S44" s="32"/>
      <c r="T44" s="1"/>
      <c r="U44" s="1"/>
      <c r="V44" s="1"/>
    </row>
    <row r="45" spans="1:22" x14ac:dyDescent="0.2">
      <c r="A45" s="4"/>
      <c r="B45" s="13">
        <f>SUM(B30:B44)</f>
        <v>12015</v>
      </c>
      <c r="C45" s="4"/>
      <c r="D45" s="4"/>
      <c r="E45" s="4"/>
      <c r="F45" s="4"/>
      <c r="G45" s="27"/>
      <c r="H45" s="36"/>
      <c r="I45" s="18"/>
      <c r="J45" s="18"/>
      <c r="K45" s="18"/>
      <c r="L45" s="23"/>
      <c r="M45" s="63"/>
      <c r="N45" s="26"/>
      <c r="O45" s="36"/>
      <c r="P45" s="18"/>
      <c r="Q45" s="18"/>
      <c r="R45" s="18"/>
      <c r="S45" s="32"/>
      <c r="T45" s="1"/>
      <c r="U45" s="1"/>
      <c r="V45" s="1"/>
    </row>
    <row r="46" spans="1:22" ht="15.75" thickBot="1" x14ac:dyDescent="0.25">
      <c r="A46" s="4"/>
      <c r="B46" s="4"/>
      <c r="C46" s="4"/>
      <c r="D46" s="4"/>
      <c r="E46" s="4"/>
      <c r="F46" s="4"/>
      <c r="G46" s="28"/>
      <c r="H46" s="37"/>
      <c r="I46" s="29"/>
      <c r="J46" s="29"/>
      <c r="K46" s="29"/>
      <c r="L46" s="30"/>
      <c r="M46" s="63"/>
      <c r="N46" s="33"/>
      <c r="O46" s="37"/>
      <c r="P46" s="29"/>
      <c r="Q46" s="29"/>
      <c r="R46" s="29"/>
      <c r="S46" s="34"/>
      <c r="T46" s="1"/>
      <c r="U46" s="1"/>
      <c r="V46" s="1"/>
    </row>
    <row r="47" spans="1:22" x14ac:dyDescent="0.2">
      <c r="A47" s="1"/>
      <c r="B47" s="1"/>
      <c r="C47" s="1"/>
      <c r="D47" s="1"/>
      <c r="E47" s="1"/>
      <c r="F47" s="1"/>
      <c r="G47" s="1"/>
      <c r="H47" s="39">
        <f>SUM(H29:H46)</f>
        <v>1637</v>
      </c>
      <c r="I47" s="1"/>
      <c r="J47" s="1"/>
      <c r="K47" s="1"/>
      <c r="L47" s="1"/>
      <c r="M47" s="52"/>
      <c r="N47" s="1"/>
      <c r="O47" s="65">
        <f>SUM(O29:O46)</f>
        <v>1265</v>
      </c>
      <c r="P47" s="1"/>
      <c r="Q47" s="1"/>
      <c r="R47" s="1"/>
      <c r="S47" s="1"/>
      <c r="T47" s="65">
        <f>O47-T34</f>
        <v>1265</v>
      </c>
      <c r="U47" s="1"/>
      <c r="V47" s="1"/>
    </row>
    <row r="48" spans="1:2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/>
      <c r="U48" s="1"/>
      <c r="V48" s="1"/>
    </row>
    <row r="49" spans="1:8" x14ac:dyDescent="0.2">
      <c r="A49" s="1"/>
      <c r="B49" s="1"/>
      <c r="C49" s="1"/>
      <c r="D49" s="1"/>
      <c r="E49" s="1"/>
    </row>
    <row r="52" spans="1:8" x14ac:dyDescent="0.2">
      <c r="B52" s="74"/>
    </row>
    <row r="53" spans="1:8" x14ac:dyDescent="0.2">
      <c r="B53" s="74"/>
      <c r="G53" s="40" t="s">
        <v>27</v>
      </c>
      <c r="H53" s="41">
        <f>SUM(H47+O47)</f>
        <v>2902</v>
      </c>
    </row>
    <row r="54" spans="1:8" x14ac:dyDescent="0.2">
      <c r="B54" s="74"/>
    </row>
    <row r="55" spans="1:8" x14ac:dyDescent="0.2">
      <c r="B55" s="74"/>
      <c r="H55" s="44">
        <f>H47+T47</f>
        <v>2902</v>
      </c>
    </row>
    <row r="56" spans="1:8" x14ac:dyDescent="0.2">
      <c r="B56" s="74"/>
    </row>
    <row r="57" spans="1:8" x14ac:dyDescent="0.2">
      <c r="B57" s="74"/>
    </row>
  </sheetData>
  <sortState xmlns:xlrd2="http://schemas.microsoft.com/office/spreadsheetml/2017/richdata2" ref="A2:E12">
    <sortCondition ref="A2:A12"/>
  </sortState>
  <mergeCells count="4">
    <mergeCell ref="A28:E28"/>
    <mergeCell ref="G27:K27"/>
    <mergeCell ref="N27:R27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877E-FAA8-A343-B99E-77AD11EFA317}">
  <dimension ref="A1:V52"/>
  <sheetViews>
    <sheetView zoomScaleNormal="150" zoomScaleSheetLayoutView="100" workbookViewId="0">
      <selection activeCell="F29" sqref="F29"/>
    </sheetView>
  </sheetViews>
  <sheetFormatPr defaultColWidth="8.875" defaultRowHeight="15" x14ac:dyDescent="0.2"/>
  <cols>
    <col min="1" max="1" width="14.125" bestFit="1" customWidth="1"/>
    <col min="2" max="2" width="11.296875" bestFit="1" customWidth="1"/>
    <col min="3" max="3" width="9.55078125" bestFit="1" customWidth="1"/>
    <col min="4" max="4" width="10.35546875" bestFit="1" customWidth="1"/>
    <col min="5" max="5" width="10.0859375" bestFit="1" customWidth="1"/>
    <col min="6" max="6" width="28.515625" customWidth="1"/>
    <col min="7" max="7" width="15.46875" customWidth="1"/>
    <col min="8" max="8" width="11.56640625" bestFit="1" customWidth="1"/>
    <col min="9" max="9" width="9.4140625" bestFit="1" customWidth="1"/>
    <col min="10" max="11" width="8.47265625" bestFit="1" customWidth="1"/>
    <col min="12" max="12" width="11.02734375" bestFit="1" customWidth="1"/>
    <col min="13" max="13" width="8.47265625" bestFit="1" customWidth="1"/>
    <col min="14" max="14" width="14.390625" bestFit="1" customWidth="1"/>
    <col min="15" max="15" width="11.296875" bestFit="1" customWidth="1"/>
    <col min="16" max="16" width="9.14453125" bestFit="1" customWidth="1"/>
    <col min="17" max="18" width="8.47265625" bestFit="1" customWidth="1"/>
    <col min="19" max="19" width="19.37109375" customWidth="1"/>
    <col min="20" max="20" width="10.0859375" bestFit="1" customWidth="1"/>
    <col min="21" max="21" width="9.4140625" bestFit="1" customWidth="1"/>
  </cols>
  <sheetData>
    <row r="1" spans="1:22" x14ac:dyDescent="0.2">
      <c r="A1" s="76" t="s">
        <v>0</v>
      </c>
      <c r="B1" s="77" t="s">
        <v>1</v>
      </c>
      <c r="C1" s="78" t="s">
        <v>2</v>
      </c>
      <c r="D1" s="140" t="s">
        <v>3</v>
      </c>
      <c r="E1" s="79" t="s">
        <v>4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1"/>
      <c r="T1" s="81"/>
      <c r="U1" s="81"/>
      <c r="V1" s="81"/>
    </row>
    <row r="2" spans="1:22" x14ac:dyDescent="0.2">
      <c r="A2" s="82" t="s">
        <v>5</v>
      </c>
      <c r="B2" s="180">
        <v>55</v>
      </c>
      <c r="C2" s="603">
        <v>46078</v>
      </c>
      <c r="D2" s="67"/>
      <c r="E2" s="360"/>
      <c r="F2" s="80"/>
      <c r="G2" s="80"/>
      <c r="H2" s="80"/>
      <c r="I2" s="80"/>
      <c r="J2" s="80"/>
      <c r="K2" s="80"/>
      <c r="L2" s="80"/>
      <c r="M2" s="80"/>
      <c r="N2" s="80"/>
      <c r="O2" s="692" t="s">
        <v>7</v>
      </c>
      <c r="P2" s="693"/>
      <c r="Q2" s="80"/>
      <c r="R2" s="80">
        <v>1209</v>
      </c>
      <c r="S2" s="81" t="s">
        <v>113</v>
      </c>
      <c r="T2" s="81" t="s">
        <v>115</v>
      </c>
      <c r="U2" s="81"/>
      <c r="V2" s="81"/>
    </row>
    <row r="3" spans="1:22" x14ac:dyDescent="0.2">
      <c r="A3" s="82" t="s">
        <v>8</v>
      </c>
      <c r="B3" s="180">
        <v>350</v>
      </c>
      <c r="C3" s="603">
        <v>46078</v>
      </c>
      <c r="D3" s="67"/>
      <c r="E3" s="360"/>
      <c r="F3" s="80"/>
      <c r="G3" s="80"/>
      <c r="H3" s="80"/>
      <c r="I3" s="80"/>
      <c r="J3" s="80"/>
      <c r="K3" s="80"/>
      <c r="L3" s="80"/>
      <c r="M3" s="80"/>
      <c r="N3" s="80"/>
      <c r="O3" s="83" t="s">
        <v>109</v>
      </c>
      <c r="P3" s="84">
        <v>96</v>
      </c>
      <c r="Q3" s="80"/>
      <c r="R3" s="80">
        <v>664</v>
      </c>
      <c r="S3" s="81" t="s">
        <v>114</v>
      </c>
      <c r="T3" s="81" t="s">
        <v>116</v>
      </c>
      <c r="U3" s="81"/>
      <c r="V3" s="81"/>
    </row>
    <row r="4" spans="1:22" x14ac:dyDescent="0.2">
      <c r="A4" s="82" t="s">
        <v>9</v>
      </c>
      <c r="B4" s="180">
        <v>1060</v>
      </c>
      <c r="C4" s="603">
        <v>46086</v>
      </c>
      <c r="D4" s="67"/>
      <c r="E4" s="360"/>
      <c r="F4" s="80"/>
      <c r="G4" s="80"/>
      <c r="H4" s="80"/>
      <c r="I4" s="80"/>
      <c r="J4" s="80"/>
      <c r="K4" s="80"/>
      <c r="L4" s="80"/>
      <c r="M4" s="80"/>
      <c r="N4" s="80"/>
      <c r="O4" s="85" t="s">
        <v>110</v>
      </c>
      <c r="P4" s="86">
        <v>151</v>
      </c>
      <c r="Q4" s="80"/>
      <c r="R4" s="80">
        <v>171</v>
      </c>
      <c r="S4" s="81" t="s">
        <v>117</v>
      </c>
      <c r="T4" s="81" t="s">
        <v>116</v>
      </c>
      <c r="U4" s="81"/>
      <c r="V4" s="81"/>
    </row>
    <row r="5" spans="1:22" x14ac:dyDescent="0.2">
      <c r="A5" s="82" t="s">
        <v>10</v>
      </c>
      <c r="B5" s="67">
        <v>200</v>
      </c>
      <c r="C5" s="155"/>
      <c r="D5" s="67">
        <v>200</v>
      </c>
      <c r="E5" s="360"/>
      <c r="F5" s="80"/>
      <c r="G5" s="80"/>
      <c r="H5" s="80"/>
      <c r="I5" s="80"/>
      <c r="J5" s="80"/>
      <c r="K5" s="80"/>
      <c r="L5" s="80"/>
      <c r="M5" s="80"/>
      <c r="N5" s="80"/>
      <c r="O5" s="85" t="s">
        <v>16</v>
      </c>
      <c r="P5" s="86">
        <v>68</v>
      </c>
      <c r="Q5" s="80"/>
      <c r="R5" s="80"/>
      <c r="S5" s="81"/>
      <c r="T5" s="81"/>
      <c r="U5" s="81"/>
      <c r="V5" s="81"/>
    </row>
    <row r="6" spans="1:22" x14ac:dyDescent="0.2">
      <c r="A6" s="82" t="s">
        <v>11</v>
      </c>
      <c r="B6" s="599">
        <v>500</v>
      </c>
      <c r="C6" s="600">
        <v>46078</v>
      </c>
      <c r="D6" s="598"/>
      <c r="E6" s="360"/>
      <c r="F6" s="80"/>
      <c r="G6" s="80"/>
      <c r="H6" s="80"/>
      <c r="I6" s="80"/>
      <c r="J6" s="80"/>
      <c r="K6" s="80"/>
      <c r="L6" s="80"/>
      <c r="M6" s="80"/>
      <c r="N6" s="80"/>
      <c r="O6" s="85" t="s">
        <v>108</v>
      </c>
      <c r="P6" s="86">
        <v>50</v>
      </c>
      <c r="Q6" s="80"/>
      <c r="R6" s="80"/>
      <c r="S6" s="81"/>
      <c r="T6" s="81"/>
      <c r="U6" s="81"/>
      <c r="V6" s="81"/>
    </row>
    <row r="7" spans="1:22" x14ac:dyDescent="0.2">
      <c r="A7" s="82" t="s">
        <v>12</v>
      </c>
      <c r="B7" s="180">
        <v>780</v>
      </c>
      <c r="C7" s="603">
        <v>46085</v>
      </c>
      <c r="D7" s="67"/>
      <c r="E7" s="360"/>
      <c r="F7" s="80"/>
      <c r="G7" s="80"/>
      <c r="H7" s="80"/>
      <c r="I7" s="80"/>
      <c r="J7" s="80"/>
      <c r="K7" s="80"/>
      <c r="L7" s="80"/>
      <c r="M7" s="80"/>
      <c r="N7" s="80"/>
      <c r="O7" s="85"/>
      <c r="P7" s="86"/>
      <c r="Q7" s="80"/>
      <c r="R7" s="80"/>
      <c r="S7" s="81"/>
      <c r="T7" s="81"/>
      <c r="U7" s="81"/>
      <c r="V7" s="81"/>
    </row>
    <row r="8" spans="1:22" x14ac:dyDescent="0.2">
      <c r="A8" s="82" t="s">
        <v>14</v>
      </c>
      <c r="B8" s="180">
        <v>200</v>
      </c>
      <c r="C8" s="603">
        <v>46078</v>
      </c>
      <c r="D8" s="67"/>
      <c r="E8" s="360"/>
      <c r="F8" s="80"/>
      <c r="G8" s="80"/>
      <c r="H8" s="80"/>
      <c r="I8" s="80"/>
      <c r="J8" s="80"/>
      <c r="K8" s="80"/>
      <c r="L8" s="80"/>
      <c r="M8" s="80"/>
      <c r="N8" s="80"/>
      <c r="O8" s="85"/>
      <c r="P8" s="86"/>
      <c r="Q8" s="80"/>
      <c r="R8" s="80"/>
      <c r="S8" s="81"/>
      <c r="T8" s="81"/>
      <c r="U8" s="81"/>
      <c r="V8" s="81"/>
    </row>
    <row r="9" spans="1:22" x14ac:dyDescent="0.2">
      <c r="A9" s="82" t="s">
        <v>15</v>
      </c>
      <c r="B9" s="67">
        <v>55</v>
      </c>
      <c r="C9" s="155"/>
      <c r="D9" s="67"/>
      <c r="E9" s="360"/>
      <c r="F9" s="80"/>
      <c r="G9" s="80"/>
      <c r="H9" s="80"/>
      <c r="I9" s="80"/>
      <c r="J9" s="80"/>
      <c r="K9" s="80"/>
      <c r="L9" s="80"/>
      <c r="M9" s="80"/>
      <c r="N9" s="80"/>
      <c r="O9" s="85"/>
      <c r="P9" s="86"/>
      <c r="Q9" s="80"/>
      <c r="R9" s="80"/>
      <c r="S9" s="81"/>
      <c r="T9" s="81"/>
      <c r="U9" s="81"/>
      <c r="V9" s="81"/>
    </row>
    <row r="10" spans="1:22" x14ac:dyDescent="0.2">
      <c r="A10" s="82" t="s">
        <v>17</v>
      </c>
      <c r="B10" s="180">
        <v>1500</v>
      </c>
      <c r="C10" s="603">
        <v>46086</v>
      </c>
      <c r="D10" s="67"/>
      <c r="E10" s="360"/>
      <c r="F10" s="87"/>
      <c r="G10" s="87"/>
      <c r="H10" s="80"/>
      <c r="I10" s="80"/>
      <c r="J10" s="80"/>
      <c r="K10" s="80"/>
      <c r="L10" s="80"/>
      <c r="M10" s="80"/>
      <c r="N10" s="80"/>
      <c r="O10" s="85"/>
      <c r="P10" s="86"/>
      <c r="Q10" s="80"/>
      <c r="R10" s="80"/>
      <c r="S10" s="81"/>
      <c r="T10" s="81"/>
      <c r="U10" s="81"/>
      <c r="V10" s="81"/>
    </row>
    <row r="11" spans="1:22" x14ac:dyDescent="0.2">
      <c r="A11" s="82" t="s">
        <v>18</v>
      </c>
      <c r="B11" s="180">
        <v>1200</v>
      </c>
      <c r="C11" s="603">
        <v>46085</v>
      </c>
      <c r="D11" s="67"/>
      <c r="E11" s="360"/>
      <c r="F11" s="80"/>
      <c r="G11" s="80"/>
      <c r="H11" s="80"/>
      <c r="I11" s="80"/>
      <c r="J11" s="80"/>
      <c r="K11" s="80"/>
      <c r="L11" s="80"/>
      <c r="M11" s="80"/>
      <c r="N11" s="80"/>
      <c r="O11" s="85"/>
      <c r="P11" s="86"/>
      <c r="Q11" s="80"/>
      <c r="R11" s="80"/>
      <c r="S11" s="81"/>
      <c r="T11" s="81"/>
      <c r="U11" s="81"/>
      <c r="V11" s="81"/>
    </row>
    <row r="12" spans="1:22" x14ac:dyDescent="0.2">
      <c r="A12" s="82" t="s">
        <v>19</v>
      </c>
      <c r="B12" s="67">
        <v>300</v>
      </c>
      <c r="C12" s="155"/>
      <c r="D12" s="67"/>
      <c r="E12" s="360"/>
      <c r="F12" s="80"/>
      <c r="G12" s="80"/>
      <c r="H12" s="80"/>
      <c r="I12" s="80"/>
      <c r="J12" s="80"/>
      <c r="K12" s="80"/>
      <c r="L12" s="80"/>
      <c r="M12" s="80"/>
      <c r="N12" s="80"/>
      <c r="O12" s="85"/>
      <c r="P12" s="86"/>
      <c r="Q12" s="80"/>
      <c r="R12" s="80"/>
      <c r="S12" s="81"/>
      <c r="T12" s="81"/>
      <c r="U12" s="81"/>
      <c r="V12" s="81"/>
    </row>
    <row r="13" spans="1:22" x14ac:dyDescent="0.2">
      <c r="A13" s="82" t="s">
        <v>29</v>
      </c>
      <c r="B13" s="180">
        <v>500</v>
      </c>
      <c r="C13" s="603">
        <v>46078</v>
      </c>
      <c r="D13" s="67"/>
      <c r="E13" s="360"/>
      <c r="F13" s="80"/>
      <c r="G13" s="80"/>
      <c r="H13" s="80"/>
      <c r="I13" s="80"/>
      <c r="J13" s="80"/>
      <c r="K13" s="80"/>
      <c r="L13" s="80"/>
      <c r="M13" s="80"/>
      <c r="N13" s="80"/>
      <c r="O13" s="85"/>
      <c r="P13" s="86"/>
      <c r="Q13" s="80"/>
      <c r="R13" s="80"/>
      <c r="S13" s="81"/>
      <c r="T13" s="81"/>
      <c r="U13" s="81"/>
      <c r="V13" s="81"/>
    </row>
    <row r="14" spans="1:22" x14ac:dyDescent="0.2">
      <c r="A14" s="589" t="s">
        <v>13</v>
      </c>
      <c r="B14" s="621">
        <v>175</v>
      </c>
      <c r="C14" s="622">
        <v>46086</v>
      </c>
      <c r="D14" s="564"/>
      <c r="E14" s="591"/>
      <c r="F14" s="80"/>
      <c r="G14" s="80"/>
      <c r="H14" s="80"/>
      <c r="I14" s="80"/>
      <c r="J14" s="80"/>
      <c r="K14" s="80"/>
      <c r="L14" s="80"/>
      <c r="M14" s="80"/>
      <c r="N14" s="80"/>
      <c r="O14" s="85"/>
      <c r="P14" s="86">
        <f>SUM(P3:P13)</f>
        <v>365</v>
      </c>
      <c r="Q14" s="80"/>
      <c r="R14" s="80"/>
      <c r="S14" s="81"/>
      <c r="T14" s="81"/>
      <c r="U14" s="81"/>
      <c r="V14" s="81"/>
    </row>
    <row r="15" spans="1:22" x14ac:dyDescent="0.2">
      <c r="A15" s="592" t="s">
        <v>104</v>
      </c>
      <c r="B15" s="588"/>
      <c r="C15" s="132"/>
      <c r="D15" s="604"/>
      <c r="E15" s="593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1"/>
      <c r="T15" s="81"/>
      <c r="U15" s="81"/>
      <c r="V15" s="81"/>
    </row>
    <row r="16" spans="1:22" x14ac:dyDescent="0.2">
      <c r="A16" s="592" t="s">
        <v>105</v>
      </c>
      <c r="B16" s="132"/>
      <c r="C16" s="132"/>
      <c r="D16" s="604"/>
      <c r="E16" s="594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1"/>
      <c r="T16" s="81"/>
      <c r="U16" s="81"/>
      <c r="V16" s="81"/>
    </row>
    <row r="17" spans="1:22" x14ac:dyDescent="0.2">
      <c r="A17" s="592" t="s">
        <v>38</v>
      </c>
      <c r="B17" s="602">
        <v>143</v>
      </c>
      <c r="C17" s="601">
        <v>46078</v>
      </c>
      <c r="D17" s="604"/>
      <c r="E17" s="594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1"/>
      <c r="T17" s="81"/>
      <c r="U17" s="81"/>
      <c r="V17" s="81"/>
    </row>
    <row r="18" spans="1:22" ht="15.75" thickBot="1" x14ac:dyDescent="0.25">
      <c r="A18" s="595"/>
      <c r="B18" s="134"/>
      <c r="C18" s="134"/>
      <c r="D18" s="605"/>
      <c r="E18" s="596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1"/>
      <c r="T18" s="81"/>
      <c r="U18" s="81"/>
      <c r="V18" s="81"/>
    </row>
    <row r="19" spans="1:22" x14ac:dyDescent="0.2">
      <c r="A19" s="8"/>
      <c r="B19" s="14">
        <f>SUM(B2:B18)</f>
        <v>7018</v>
      </c>
      <c r="C19" s="8"/>
      <c r="D19" s="597">
        <f>SUM(D2:D18)</f>
        <v>200</v>
      </c>
      <c r="E19" s="8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1"/>
      <c r="T19" s="81"/>
      <c r="U19" s="81"/>
      <c r="V19" s="81"/>
    </row>
    <row r="20" spans="1:22" x14ac:dyDescent="0.2">
      <c r="A20" s="8"/>
      <c r="B20" s="8"/>
      <c r="C20" s="8"/>
      <c r="D20" s="143"/>
      <c r="E20" s="8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1"/>
      <c r="T20" s="81"/>
      <c r="U20" s="81"/>
      <c r="V20" s="81"/>
    </row>
    <row r="21" spans="1:22" x14ac:dyDescent="0.2">
      <c r="A21" s="8"/>
      <c r="B21" s="8"/>
      <c r="C21" s="8"/>
      <c r="D21" s="143"/>
      <c r="E21" s="8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  <c r="T21" s="81"/>
      <c r="U21" s="81"/>
      <c r="V21" s="81"/>
    </row>
    <row r="22" spans="1:22" ht="15.75" thickBot="1" x14ac:dyDescent="0.25">
      <c r="A22" s="8"/>
      <c r="B22" s="8"/>
      <c r="C22" s="8"/>
      <c r="D22" s="143"/>
      <c r="E22" s="8"/>
      <c r="F22" s="80"/>
      <c r="G22" s="80"/>
      <c r="H22" s="80"/>
      <c r="I22" s="80"/>
      <c r="J22" s="80"/>
      <c r="K22" s="80"/>
      <c r="L22" s="80"/>
      <c r="M22" s="89"/>
      <c r="N22" s="80"/>
      <c r="O22" s="80"/>
      <c r="P22" s="80"/>
      <c r="Q22" s="80"/>
      <c r="R22" s="80"/>
      <c r="S22" s="81"/>
      <c r="T22" s="81"/>
      <c r="U22" s="81"/>
      <c r="V22" s="81"/>
    </row>
    <row r="23" spans="1:22" ht="15.75" thickBot="1" x14ac:dyDescent="0.25">
      <c r="A23" s="8"/>
      <c r="B23" s="8"/>
      <c r="C23" s="8"/>
      <c r="D23" s="143"/>
      <c r="E23" s="8"/>
      <c r="F23" s="80"/>
      <c r="G23" s="694" t="s">
        <v>20</v>
      </c>
      <c r="H23" s="695"/>
      <c r="I23" s="695"/>
      <c r="J23" s="695"/>
      <c r="K23" s="696"/>
      <c r="L23" s="90" t="s">
        <v>21</v>
      </c>
      <c r="M23" s="91"/>
      <c r="N23" s="697" t="s">
        <v>22</v>
      </c>
      <c r="O23" s="698"/>
      <c r="P23" s="698"/>
      <c r="Q23" s="698"/>
      <c r="R23" s="698"/>
      <c r="S23" s="92" t="s">
        <v>21</v>
      </c>
      <c r="T23" s="81"/>
      <c r="U23" s="81"/>
      <c r="V23" s="81"/>
    </row>
    <row r="24" spans="1:22" x14ac:dyDescent="0.2">
      <c r="A24" s="699" t="s">
        <v>23</v>
      </c>
      <c r="B24" s="700"/>
      <c r="C24" s="700"/>
      <c r="D24" s="700"/>
      <c r="E24" s="701"/>
      <c r="F24" s="80"/>
      <c r="G24" s="93" t="s">
        <v>24</v>
      </c>
      <c r="H24" s="94" t="s">
        <v>1</v>
      </c>
      <c r="I24" s="94" t="s">
        <v>2</v>
      </c>
      <c r="J24" s="94" t="s">
        <v>25</v>
      </c>
      <c r="K24" s="94" t="s">
        <v>3</v>
      </c>
      <c r="L24" s="95"/>
      <c r="M24" s="91"/>
      <c r="N24" s="93" t="s">
        <v>24</v>
      </c>
      <c r="O24" s="94" t="s">
        <v>1</v>
      </c>
      <c r="P24" s="94" t="s">
        <v>2</v>
      </c>
      <c r="Q24" s="94" t="s">
        <v>25</v>
      </c>
      <c r="R24" s="94" t="s">
        <v>6</v>
      </c>
      <c r="S24" s="96"/>
      <c r="T24" s="81"/>
      <c r="U24" s="81"/>
      <c r="V24" s="81"/>
    </row>
    <row r="25" spans="1:22" x14ac:dyDescent="0.2">
      <c r="A25" s="126" t="s">
        <v>24</v>
      </c>
      <c r="B25" s="125" t="s">
        <v>1</v>
      </c>
      <c r="C25" s="125" t="s">
        <v>2</v>
      </c>
      <c r="D25" s="144" t="s">
        <v>25</v>
      </c>
      <c r="E25" s="127"/>
      <c r="F25" s="80"/>
      <c r="G25" s="566" t="s">
        <v>70</v>
      </c>
      <c r="H25" s="35">
        <v>61</v>
      </c>
      <c r="I25" s="567">
        <v>45784</v>
      </c>
      <c r="J25" s="568" t="s">
        <v>71</v>
      </c>
      <c r="K25" s="105"/>
      <c r="L25" s="101"/>
      <c r="M25" s="91"/>
      <c r="N25" s="566" t="s">
        <v>76</v>
      </c>
      <c r="O25" s="35">
        <v>114</v>
      </c>
      <c r="P25" s="16"/>
      <c r="Q25" s="568" t="s">
        <v>77</v>
      </c>
      <c r="R25" s="105"/>
      <c r="S25" s="96"/>
      <c r="T25" s="81"/>
      <c r="U25" s="81"/>
      <c r="V25" s="81"/>
    </row>
    <row r="26" spans="1:22" x14ac:dyDescent="0.2">
      <c r="A26" s="566" t="s">
        <v>70</v>
      </c>
      <c r="B26" s="5">
        <v>1004</v>
      </c>
      <c r="C26" s="567">
        <v>45784</v>
      </c>
      <c r="D26" s="568" t="s">
        <v>71</v>
      </c>
      <c r="E26" s="146"/>
      <c r="F26" s="80"/>
      <c r="G26" s="566" t="s">
        <v>72</v>
      </c>
      <c r="H26" s="35">
        <v>130</v>
      </c>
      <c r="I26" s="567" t="s">
        <v>84</v>
      </c>
      <c r="J26" s="568" t="s">
        <v>73</v>
      </c>
      <c r="K26" s="105"/>
      <c r="L26" s="101"/>
      <c r="M26" s="91"/>
      <c r="N26" s="566" t="s">
        <v>78</v>
      </c>
      <c r="O26" s="35">
        <v>175</v>
      </c>
      <c r="P26" s="16"/>
      <c r="Q26" s="568" t="s">
        <v>77</v>
      </c>
      <c r="R26" s="105"/>
      <c r="S26" s="96"/>
      <c r="T26" s="81"/>
      <c r="U26" s="81"/>
      <c r="V26" s="81"/>
    </row>
    <row r="27" spans="1:22" x14ac:dyDescent="0.2">
      <c r="A27" s="566" t="s">
        <v>72</v>
      </c>
      <c r="B27" s="5">
        <v>1652</v>
      </c>
      <c r="C27" s="567" t="s">
        <v>84</v>
      </c>
      <c r="D27" s="568" t="s">
        <v>73</v>
      </c>
      <c r="E27" s="146"/>
      <c r="F27" s="80"/>
      <c r="G27" s="566" t="s">
        <v>74</v>
      </c>
      <c r="H27" s="35">
        <v>104</v>
      </c>
      <c r="I27" s="567">
        <v>45971</v>
      </c>
      <c r="J27" s="568" t="s">
        <v>75</v>
      </c>
      <c r="K27" s="105"/>
      <c r="L27" s="101"/>
      <c r="M27" s="91"/>
      <c r="N27" s="102" t="s">
        <v>112</v>
      </c>
      <c r="O27" s="103">
        <v>22</v>
      </c>
      <c r="P27" s="104"/>
      <c r="Q27" s="105"/>
      <c r="R27" s="105"/>
      <c r="S27" s="96"/>
      <c r="T27" s="81"/>
      <c r="U27" s="81"/>
      <c r="V27" s="81"/>
    </row>
    <row r="28" spans="1:22" x14ac:dyDescent="0.2">
      <c r="A28" s="566" t="s">
        <v>74</v>
      </c>
      <c r="B28" s="5">
        <v>1972</v>
      </c>
      <c r="C28" s="567">
        <v>45971</v>
      </c>
      <c r="D28" s="568" t="s">
        <v>75</v>
      </c>
      <c r="E28" s="146"/>
      <c r="F28" s="80"/>
      <c r="G28" s="566" t="s">
        <v>76</v>
      </c>
      <c r="H28" s="35">
        <v>114</v>
      </c>
      <c r="I28" s="567" t="s">
        <v>85</v>
      </c>
      <c r="J28" s="568" t="s">
        <v>77</v>
      </c>
      <c r="K28" s="105"/>
      <c r="L28" s="101"/>
      <c r="M28" s="91"/>
      <c r="N28" s="102"/>
      <c r="O28" s="103"/>
      <c r="P28" s="104"/>
      <c r="Q28" s="105"/>
      <c r="R28" s="105"/>
      <c r="S28" s="96"/>
      <c r="T28" s="81"/>
      <c r="U28" s="81"/>
      <c r="V28" s="81"/>
    </row>
    <row r="29" spans="1:22" x14ac:dyDescent="0.2">
      <c r="A29" s="566" t="s">
        <v>76</v>
      </c>
      <c r="B29" s="5">
        <v>1774</v>
      </c>
      <c r="C29" s="567" t="s">
        <v>85</v>
      </c>
      <c r="D29" s="568" t="s">
        <v>77</v>
      </c>
      <c r="E29" s="198"/>
      <c r="F29" s="80"/>
      <c r="G29" s="566" t="s">
        <v>78</v>
      </c>
      <c r="H29" s="35">
        <v>175</v>
      </c>
      <c r="I29" s="567" t="s">
        <v>86</v>
      </c>
      <c r="J29" s="568" t="s">
        <v>77</v>
      </c>
      <c r="K29" s="105"/>
      <c r="L29" s="101"/>
      <c r="M29" s="91"/>
      <c r="N29" s="102"/>
      <c r="O29" s="103"/>
      <c r="P29" s="104"/>
      <c r="Q29" s="105"/>
      <c r="R29" s="105"/>
      <c r="S29" s="108"/>
      <c r="T29" s="109">
        <f>SUM(O25:O29)</f>
        <v>311</v>
      </c>
      <c r="U29" s="81"/>
      <c r="V29" s="81"/>
    </row>
    <row r="30" spans="1:22" ht="16.5" customHeight="1" x14ac:dyDescent="0.2">
      <c r="A30" s="566" t="s">
        <v>78</v>
      </c>
      <c r="B30" s="5">
        <v>2761</v>
      </c>
      <c r="C30" s="567" t="s">
        <v>86</v>
      </c>
      <c r="D30" s="568" t="s">
        <v>77</v>
      </c>
      <c r="E30" s="198"/>
      <c r="F30" s="80"/>
      <c r="G30" s="157" t="s">
        <v>106</v>
      </c>
      <c r="H30" s="158">
        <v>11</v>
      </c>
      <c r="I30" s="159">
        <v>46065</v>
      </c>
      <c r="J30" s="160">
        <v>1</v>
      </c>
      <c r="K30" s="105"/>
      <c r="L30" s="101"/>
      <c r="M30" s="91"/>
      <c r="N30" s="102"/>
      <c r="O30" s="103"/>
      <c r="P30" s="104"/>
      <c r="Q30" s="105"/>
      <c r="R30" s="105"/>
      <c r="S30" s="96"/>
      <c r="T30" s="109"/>
      <c r="U30" s="81"/>
      <c r="V30" s="81"/>
    </row>
    <row r="31" spans="1:22" x14ac:dyDescent="0.2">
      <c r="A31" s="157" t="s">
        <v>106</v>
      </c>
      <c r="B31" s="158">
        <v>11</v>
      </c>
      <c r="C31" s="159">
        <v>46065</v>
      </c>
      <c r="D31" s="160">
        <v>1</v>
      </c>
      <c r="E31" s="146"/>
      <c r="F31" s="91"/>
      <c r="G31" s="157" t="s">
        <v>107</v>
      </c>
      <c r="H31" s="158">
        <v>342</v>
      </c>
      <c r="I31" s="159">
        <v>46065</v>
      </c>
      <c r="J31" s="160">
        <v>1</v>
      </c>
      <c r="K31" s="105"/>
      <c r="L31" s="101"/>
      <c r="M31" s="91"/>
      <c r="N31" s="102"/>
      <c r="O31" s="103"/>
      <c r="P31" s="104"/>
      <c r="Q31" s="105"/>
      <c r="R31" s="105"/>
      <c r="S31" s="96"/>
      <c r="T31" s="81"/>
      <c r="U31" s="81"/>
      <c r="V31" s="81"/>
    </row>
    <row r="32" spans="1:22" x14ac:dyDescent="0.2">
      <c r="A32" s="157" t="s">
        <v>107</v>
      </c>
      <c r="B32" s="158">
        <v>342</v>
      </c>
      <c r="C32" s="159">
        <v>46065</v>
      </c>
      <c r="D32" s="160">
        <v>1</v>
      </c>
      <c r="E32" s="146"/>
      <c r="F32" s="110"/>
      <c r="G32" s="157" t="s">
        <v>108</v>
      </c>
      <c r="H32" s="158">
        <v>76</v>
      </c>
      <c r="I32" s="159">
        <v>46075</v>
      </c>
      <c r="J32" s="160">
        <v>1</v>
      </c>
      <c r="K32" s="105"/>
      <c r="L32" s="101"/>
      <c r="M32" s="91"/>
      <c r="N32" s="102"/>
      <c r="O32" s="103"/>
      <c r="P32" s="104"/>
      <c r="Q32" s="105"/>
      <c r="R32" s="105"/>
      <c r="S32" s="96"/>
      <c r="T32" s="81"/>
      <c r="U32" s="81"/>
      <c r="V32" s="81"/>
    </row>
    <row r="33" spans="1:22" x14ac:dyDescent="0.2">
      <c r="A33" s="157" t="s">
        <v>108</v>
      </c>
      <c r="B33" s="158">
        <v>76</v>
      </c>
      <c r="C33" s="159">
        <v>46075</v>
      </c>
      <c r="D33" s="160">
        <v>1</v>
      </c>
      <c r="E33" s="146"/>
      <c r="F33" s="91"/>
      <c r="G33" s="157" t="s">
        <v>100</v>
      </c>
      <c r="H33" s="158">
        <v>128</v>
      </c>
      <c r="I33" s="159">
        <v>46073</v>
      </c>
      <c r="J33" s="105">
        <v>1</v>
      </c>
      <c r="K33" s="105"/>
      <c r="L33" s="101"/>
      <c r="M33" s="91"/>
      <c r="N33" s="102"/>
      <c r="O33" s="103"/>
      <c r="P33" s="104"/>
      <c r="Q33" s="105"/>
      <c r="R33" s="105"/>
      <c r="S33" s="96"/>
      <c r="T33" s="81"/>
      <c r="U33" s="81"/>
      <c r="V33" s="81"/>
    </row>
    <row r="34" spans="1:22" x14ac:dyDescent="0.2">
      <c r="A34" s="157" t="s">
        <v>100</v>
      </c>
      <c r="B34" s="158">
        <v>128</v>
      </c>
      <c r="C34" s="159">
        <v>46073</v>
      </c>
      <c r="D34" s="160">
        <v>1</v>
      </c>
      <c r="E34" s="146"/>
      <c r="F34" s="91"/>
      <c r="G34" s="102"/>
      <c r="H34" s="103"/>
      <c r="I34" s="104"/>
      <c r="J34" s="105"/>
      <c r="K34" s="105"/>
      <c r="L34" s="101"/>
      <c r="M34" s="91"/>
      <c r="N34" s="102"/>
      <c r="O34" s="103"/>
      <c r="P34" s="104"/>
      <c r="Q34" s="105"/>
      <c r="R34" s="105"/>
      <c r="S34" s="96"/>
      <c r="T34" s="81"/>
      <c r="U34" s="111"/>
      <c r="V34" s="81"/>
    </row>
    <row r="35" spans="1:22" x14ac:dyDescent="0.2">
      <c r="A35" s="157"/>
      <c r="B35" s="158"/>
      <c r="C35" s="159"/>
      <c r="D35" s="160"/>
      <c r="E35" s="146"/>
      <c r="F35" s="91"/>
      <c r="G35" s="102"/>
      <c r="H35" s="103"/>
      <c r="I35" s="104"/>
      <c r="J35" s="105"/>
      <c r="K35" s="105"/>
      <c r="L35" s="101"/>
      <c r="M35" s="91"/>
      <c r="N35" s="102"/>
      <c r="O35" s="103"/>
      <c r="P35" s="104"/>
      <c r="Q35" s="105"/>
      <c r="R35" s="105"/>
      <c r="S35" s="96"/>
      <c r="T35" s="81"/>
      <c r="U35" s="81"/>
      <c r="V35" s="81"/>
    </row>
    <row r="36" spans="1:22" x14ac:dyDescent="0.2">
      <c r="A36" s="157"/>
      <c r="B36" s="158"/>
      <c r="C36" s="159"/>
      <c r="D36" s="160"/>
      <c r="E36" s="146"/>
      <c r="F36" s="80"/>
      <c r="G36" s="102"/>
      <c r="H36" s="103"/>
      <c r="I36" s="104"/>
      <c r="J36" s="105"/>
      <c r="K36" s="113"/>
      <c r="L36" s="101"/>
      <c r="M36" s="91"/>
      <c r="N36" s="102"/>
      <c r="O36" s="103"/>
      <c r="P36" s="105"/>
      <c r="Q36" s="105"/>
      <c r="R36" s="105"/>
      <c r="S36" s="96"/>
      <c r="T36" s="81"/>
      <c r="U36" s="81"/>
      <c r="V36" s="81"/>
    </row>
    <row r="37" spans="1:22" x14ac:dyDescent="0.2">
      <c r="A37" s="157"/>
      <c r="B37" s="158"/>
      <c r="C37" s="159"/>
      <c r="D37" s="160"/>
      <c r="E37" s="146"/>
      <c r="F37" s="80"/>
      <c r="G37" s="102"/>
      <c r="H37" s="103"/>
      <c r="I37" s="104"/>
      <c r="J37" s="105"/>
      <c r="K37" s="113"/>
      <c r="L37" s="101"/>
      <c r="M37" s="91"/>
      <c r="N37" s="102"/>
      <c r="O37" s="103"/>
      <c r="P37" s="105"/>
      <c r="Q37" s="105"/>
      <c r="R37" s="105"/>
      <c r="S37" s="96"/>
      <c r="T37" s="81"/>
      <c r="U37" s="81"/>
      <c r="V37" s="81"/>
    </row>
    <row r="38" spans="1:22" x14ac:dyDescent="0.2">
      <c r="A38" s="157"/>
      <c r="B38" s="158"/>
      <c r="C38" s="159"/>
      <c r="D38" s="160"/>
      <c r="E38" s="146"/>
      <c r="F38" s="80"/>
      <c r="G38" s="102"/>
      <c r="H38" s="103"/>
      <c r="I38" s="105"/>
      <c r="J38" s="105"/>
      <c r="K38" s="113"/>
      <c r="L38" s="101"/>
      <c r="M38" s="91"/>
      <c r="N38" s="102"/>
      <c r="O38" s="103"/>
      <c r="P38" s="105"/>
      <c r="Q38" s="105"/>
      <c r="R38" s="105"/>
      <c r="S38" s="96"/>
      <c r="T38" s="81"/>
      <c r="U38" s="81"/>
      <c r="V38" s="81"/>
    </row>
    <row r="39" spans="1:22" x14ac:dyDescent="0.2">
      <c r="A39" s="157"/>
      <c r="B39" s="67"/>
      <c r="C39" s="159"/>
      <c r="D39" s="141"/>
      <c r="E39" s="146"/>
      <c r="F39" s="80"/>
      <c r="G39" s="102"/>
      <c r="H39" s="103"/>
      <c r="I39" s="105"/>
      <c r="J39" s="105"/>
      <c r="K39" s="113"/>
      <c r="L39" s="101"/>
      <c r="M39" s="91"/>
      <c r="N39" s="114"/>
      <c r="O39" s="112"/>
      <c r="P39" s="113"/>
      <c r="Q39" s="113"/>
      <c r="R39" s="113"/>
      <c r="S39" s="96"/>
      <c r="T39" s="81"/>
      <c r="U39" s="81"/>
      <c r="V39" s="81"/>
    </row>
    <row r="40" spans="1:22" ht="15.75" thickBot="1" x14ac:dyDescent="0.25">
      <c r="A40" s="130"/>
      <c r="B40" s="68"/>
      <c r="C40" s="131"/>
      <c r="D40" s="145"/>
      <c r="E40" s="147"/>
      <c r="F40" s="80"/>
      <c r="G40" s="114"/>
      <c r="H40" s="112"/>
      <c r="I40" s="113"/>
      <c r="J40" s="113"/>
      <c r="K40" s="113"/>
      <c r="L40" s="101"/>
      <c r="M40" s="91"/>
      <c r="N40" s="114"/>
      <c r="O40" s="112"/>
      <c r="P40" s="113"/>
      <c r="Q40" s="113"/>
      <c r="R40" s="113"/>
      <c r="S40" s="96"/>
      <c r="T40" s="81"/>
      <c r="U40" s="81"/>
      <c r="V40" s="81"/>
    </row>
    <row r="41" spans="1:22" x14ac:dyDescent="0.2">
      <c r="A41" s="80"/>
      <c r="B41" s="115">
        <f>SUM(B26:B40)</f>
        <v>9720</v>
      </c>
      <c r="C41" s="80"/>
      <c r="D41" s="87"/>
      <c r="E41" s="80"/>
      <c r="F41" s="80"/>
      <c r="G41" s="116"/>
      <c r="H41" s="112"/>
      <c r="I41" s="113"/>
      <c r="J41" s="113"/>
      <c r="K41" s="113"/>
      <c r="L41" s="101"/>
      <c r="M41" s="91"/>
      <c r="N41" s="114"/>
      <c r="O41" s="112"/>
      <c r="P41" s="113"/>
      <c r="Q41" s="113"/>
      <c r="R41" s="113"/>
      <c r="S41" s="96"/>
      <c r="T41" s="81"/>
      <c r="U41" s="81"/>
      <c r="V41" s="81"/>
    </row>
    <row r="42" spans="1:22" ht="15.75" thickBot="1" x14ac:dyDescent="0.25">
      <c r="A42" s="80"/>
      <c r="B42" s="80"/>
      <c r="C42" s="80"/>
      <c r="D42" s="87"/>
      <c r="E42" s="80"/>
      <c r="F42" s="80"/>
      <c r="G42" s="117"/>
      <c r="H42" s="118"/>
      <c r="I42" s="119"/>
      <c r="J42" s="119"/>
      <c r="K42" s="119"/>
      <c r="L42" s="120"/>
      <c r="M42" s="91"/>
      <c r="N42" s="121"/>
      <c r="O42" s="118"/>
      <c r="P42" s="119"/>
      <c r="Q42" s="119"/>
      <c r="R42" s="119"/>
      <c r="S42" s="122"/>
      <c r="T42" s="81"/>
      <c r="U42" s="81"/>
      <c r="V42" s="81"/>
    </row>
    <row r="43" spans="1:22" x14ac:dyDescent="0.2">
      <c r="A43" s="81"/>
      <c r="B43" s="81"/>
      <c r="C43" s="81"/>
      <c r="D43" s="81"/>
      <c r="E43" s="81"/>
      <c r="F43" s="81"/>
      <c r="G43" s="81"/>
      <c r="H43" s="109">
        <f>SUM(H25:H42)</f>
        <v>1141</v>
      </c>
      <c r="I43" s="81"/>
      <c r="J43" s="81"/>
      <c r="K43" s="81"/>
      <c r="L43" s="81"/>
      <c r="M43" s="89"/>
      <c r="N43" s="81"/>
      <c r="O43" s="123">
        <f>SUM(O25:O42)</f>
        <v>311</v>
      </c>
      <c r="P43" s="81"/>
      <c r="Q43" s="81"/>
      <c r="R43" s="81"/>
      <c r="S43" s="81"/>
      <c r="T43" s="123">
        <f>O43-T30</f>
        <v>311</v>
      </c>
      <c r="U43" s="81"/>
      <c r="V43" s="81"/>
    </row>
    <row r="44" spans="1:22" x14ac:dyDescent="0.2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111"/>
      <c r="U44" s="81"/>
      <c r="V44" s="81"/>
    </row>
    <row r="45" spans="1:22" x14ac:dyDescent="0.2">
      <c r="A45" s="81"/>
      <c r="B45" s="81"/>
      <c r="C45" s="81"/>
      <c r="D45" s="81"/>
      <c r="E45" s="81"/>
    </row>
    <row r="49" spans="7:15" x14ac:dyDescent="0.2">
      <c r="G49" s="40" t="s">
        <v>27</v>
      </c>
      <c r="H49" s="41">
        <f>SUM(H43+O43)</f>
        <v>1452</v>
      </c>
    </row>
    <row r="52" spans="7:15" x14ac:dyDescent="0.2">
      <c r="O52">
        <v>1500</v>
      </c>
    </row>
  </sheetData>
  <mergeCells count="4">
    <mergeCell ref="O2:P2"/>
    <mergeCell ref="G23:K23"/>
    <mergeCell ref="N23:R23"/>
    <mergeCell ref="A24:E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7E44-E3B0-7645-A86E-3B4E3BD1BA49}">
  <dimension ref="A1:AA49"/>
  <sheetViews>
    <sheetView tabSelected="1" zoomScaleNormal="150" zoomScaleSheetLayoutView="100" workbookViewId="0">
      <selection activeCell="T5" sqref="T5"/>
    </sheetView>
  </sheetViews>
  <sheetFormatPr defaultColWidth="8.875" defaultRowHeight="15" x14ac:dyDescent="0.2"/>
  <cols>
    <col min="1" max="1" width="14.125" bestFit="1" customWidth="1"/>
    <col min="2" max="2" width="12.375" bestFit="1" customWidth="1"/>
    <col min="3" max="3" width="21.5234375" bestFit="1" customWidth="1"/>
    <col min="4" max="4" width="13.98828125" customWidth="1"/>
    <col min="5" max="5" width="10.625" bestFit="1" customWidth="1"/>
    <col min="6" max="6" width="28.515625" customWidth="1"/>
    <col min="7" max="7" width="15.46875" customWidth="1"/>
    <col min="8" max="8" width="11.56640625" bestFit="1" customWidth="1"/>
    <col min="9" max="9" width="9.81640625" bestFit="1" customWidth="1"/>
    <col min="10" max="11" width="8.47265625" bestFit="1" customWidth="1"/>
    <col min="12" max="12" width="11.02734375" bestFit="1" customWidth="1"/>
    <col min="13" max="13" width="8.47265625" bestFit="1" customWidth="1"/>
    <col min="14" max="14" width="14.125" bestFit="1" customWidth="1"/>
    <col min="15" max="15" width="11.296875" bestFit="1" customWidth="1"/>
    <col min="16" max="16" width="9.55078125" bestFit="1" customWidth="1"/>
    <col min="17" max="17" width="8.47265625" bestFit="1" customWidth="1"/>
    <col min="18" max="18" width="10.4921875" bestFit="1" customWidth="1"/>
    <col min="19" max="19" width="19.37109375" customWidth="1"/>
    <col min="20" max="20" width="10.0859375" bestFit="1" customWidth="1"/>
    <col min="21" max="21" width="11.56640625" customWidth="1"/>
    <col min="22" max="22" width="9.28125" bestFit="1" customWidth="1"/>
    <col min="26" max="26" width="14.125" bestFit="1" customWidth="1"/>
  </cols>
  <sheetData>
    <row r="1" spans="1:27" ht="15.75" thickBot="1" x14ac:dyDescent="0.25">
      <c r="A1" s="76" t="s">
        <v>0</v>
      </c>
      <c r="B1" s="77" t="s">
        <v>1</v>
      </c>
      <c r="C1" s="78" t="s">
        <v>2</v>
      </c>
      <c r="D1" s="140" t="s">
        <v>3</v>
      </c>
      <c r="E1" s="79" t="s">
        <v>4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1"/>
      <c r="T1" s="81"/>
      <c r="U1" s="81"/>
      <c r="V1" s="660" t="s">
        <v>126</v>
      </c>
      <c r="W1" s="661" t="s">
        <v>127</v>
      </c>
      <c r="X1" s="661" t="s">
        <v>128</v>
      </c>
      <c r="Y1" s="662" t="s">
        <v>40</v>
      </c>
      <c r="Z1" s="663" t="s">
        <v>130</v>
      </c>
      <c r="AA1" s="664" t="s">
        <v>131</v>
      </c>
    </row>
    <row r="2" spans="1:27" ht="15.75" thickBot="1" x14ac:dyDescent="0.25">
      <c r="A2" s="82" t="s">
        <v>5</v>
      </c>
      <c r="B2" s="180">
        <v>58</v>
      </c>
      <c r="C2" s="603">
        <v>46106</v>
      </c>
      <c r="D2" s="67"/>
      <c r="E2" s="360"/>
      <c r="F2" s="80"/>
      <c r="G2" s="80"/>
      <c r="H2" s="80"/>
      <c r="I2" s="80"/>
      <c r="J2" s="80"/>
      <c r="K2" s="80"/>
      <c r="L2" s="80"/>
      <c r="M2" s="80"/>
      <c r="N2" s="80"/>
      <c r="O2" s="675" t="s">
        <v>7</v>
      </c>
      <c r="P2" s="676"/>
      <c r="Q2" s="85"/>
      <c r="R2" s="151"/>
      <c r="S2" s="81"/>
      <c r="T2" s="81"/>
      <c r="U2" s="81" t="s">
        <v>132</v>
      </c>
      <c r="V2" s="665" t="s">
        <v>76</v>
      </c>
      <c r="W2" s="657">
        <v>34583</v>
      </c>
      <c r="X2" s="657">
        <v>84444</v>
      </c>
      <c r="Y2" s="658">
        <f>SUM(W2+X2)</f>
        <v>119027</v>
      </c>
      <c r="Z2" s="659">
        <v>1688896</v>
      </c>
      <c r="AA2" s="666">
        <f>Y2/2</f>
        <v>59513.5</v>
      </c>
    </row>
    <row r="3" spans="1:27" x14ac:dyDescent="0.2">
      <c r="A3" s="82" t="s">
        <v>8</v>
      </c>
      <c r="B3" s="180">
        <v>350</v>
      </c>
      <c r="C3" s="603">
        <v>46106</v>
      </c>
      <c r="D3" s="67"/>
      <c r="E3" s="360"/>
      <c r="F3" s="80"/>
      <c r="G3" s="80"/>
      <c r="H3" s="80"/>
      <c r="I3" s="80"/>
      <c r="J3" s="80"/>
      <c r="K3" s="80"/>
      <c r="L3" s="80"/>
      <c r="M3" s="80"/>
      <c r="N3" s="80"/>
      <c r="O3" s="671" t="s">
        <v>108</v>
      </c>
      <c r="P3" s="672">
        <v>73</v>
      </c>
      <c r="Q3" s="85"/>
      <c r="R3" s="86">
        <v>448</v>
      </c>
      <c r="S3" s="81"/>
      <c r="T3" s="81"/>
      <c r="U3" s="81" t="s">
        <v>132</v>
      </c>
      <c r="V3" s="665" t="s">
        <v>129</v>
      </c>
      <c r="W3" s="657">
        <v>53845</v>
      </c>
      <c r="X3" s="657">
        <v>131480</v>
      </c>
      <c r="Y3" s="658">
        <f>SUM(W3+X3)</f>
        <v>185325</v>
      </c>
      <c r="Z3" s="658">
        <v>2629611</v>
      </c>
      <c r="AA3" s="666">
        <f>Y3/2</f>
        <v>92662.5</v>
      </c>
    </row>
    <row r="4" spans="1:27" x14ac:dyDescent="0.2">
      <c r="A4" s="82" t="s">
        <v>9</v>
      </c>
      <c r="B4" s="180">
        <v>1060</v>
      </c>
      <c r="C4" s="603" t="s">
        <v>135</v>
      </c>
      <c r="D4" s="67"/>
      <c r="E4" s="360"/>
      <c r="F4" s="80"/>
      <c r="G4" s="80"/>
      <c r="H4" s="80"/>
      <c r="I4" s="80"/>
      <c r="J4" s="80"/>
      <c r="K4" s="80"/>
      <c r="L4" s="80"/>
      <c r="M4" s="80"/>
      <c r="N4" s="80"/>
      <c r="O4" s="128" t="s">
        <v>110</v>
      </c>
      <c r="P4" s="673">
        <v>168</v>
      </c>
      <c r="Q4" s="85"/>
      <c r="R4" s="86">
        <v>666</v>
      </c>
      <c r="S4" s="81"/>
      <c r="T4" s="81"/>
      <c r="U4" s="81"/>
      <c r="V4" s="665" t="s">
        <v>74</v>
      </c>
      <c r="W4" s="657">
        <v>38340</v>
      </c>
      <c r="X4" s="657">
        <v>61630</v>
      </c>
      <c r="Y4" s="658">
        <f>SUM(W4+X4)</f>
        <v>99970</v>
      </c>
      <c r="Z4" s="658">
        <v>1910547</v>
      </c>
      <c r="AA4" s="129"/>
    </row>
    <row r="5" spans="1:27" x14ac:dyDescent="0.2">
      <c r="A5" s="82" t="s">
        <v>10</v>
      </c>
      <c r="B5" s="180">
        <v>340</v>
      </c>
      <c r="C5" s="603">
        <v>46106</v>
      </c>
      <c r="D5" s="67"/>
      <c r="E5" s="360"/>
      <c r="F5" s="80"/>
      <c r="G5" s="80"/>
      <c r="H5" s="80"/>
      <c r="I5" s="80"/>
      <c r="J5" s="80"/>
      <c r="K5" s="80"/>
      <c r="L5" s="80"/>
      <c r="M5" s="80"/>
      <c r="N5" s="80"/>
      <c r="O5" s="128" t="s">
        <v>109</v>
      </c>
      <c r="P5" s="673">
        <v>115</v>
      </c>
      <c r="Q5" s="85"/>
      <c r="R5" s="86">
        <v>76</v>
      </c>
      <c r="S5" s="81"/>
      <c r="T5" s="81"/>
      <c r="U5" s="81"/>
      <c r="V5" s="665" t="s">
        <v>133</v>
      </c>
      <c r="W5" s="657">
        <v>32447</v>
      </c>
      <c r="X5" s="657">
        <v>91804</v>
      </c>
      <c r="Y5" s="658">
        <f>SUM(W5+X5)</f>
        <v>124251</v>
      </c>
      <c r="Z5" s="658">
        <v>1560673</v>
      </c>
      <c r="AA5" s="129"/>
    </row>
    <row r="6" spans="1:27" x14ac:dyDescent="0.2">
      <c r="A6" s="82" t="s">
        <v>11</v>
      </c>
      <c r="B6" s="180">
        <v>500</v>
      </c>
      <c r="C6" s="603">
        <v>46106</v>
      </c>
      <c r="D6" s="67"/>
      <c r="E6" s="360"/>
      <c r="F6" s="80"/>
      <c r="G6" s="80"/>
      <c r="H6" s="80"/>
      <c r="I6" s="80"/>
      <c r="J6" s="80"/>
      <c r="K6" s="80"/>
      <c r="L6" s="80"/>
      <c r="M6" s="80"/>
      <c r="N6" s="80"/>
      <c r="O6" s="669"/>
      <c r="P6" s="673">
        <v>21</v>
      </c>
      <c r="Q6" s="85"/>
      <c r="R6" s="86"/>
      <c r="S6" s="81"/>
      <c r="T6" s="81"/>
      <c r="U6" s="81"/>
      <c r="V6" s="665" t="s">
        <v>134</v>
      </c>
      <c r="W6" s="657">
        <v>19957</v>
      </c>
      <c r="X6" s="657">
        <v>38615</v>
      </c>
      <c r="Y6" s="658">
        <f>(W6+X6)</f>
        <v>58572</v>
      </c>
      <c r="Z6" s="658">
        <v>965389</v>
      </c>
      <c r="AA6" s="129"/>
    </row>
    <row r="7" spans="1:27" x14ac:dyDescent="0.2">
      <c r="A7" s="82" t="s">
        <v>12</v>
      </c>
      <c r="B7" s="180">
        <v>780</v>
      </c>
      <c r="C7" s="603">
        <v>46109</v>
      </c>
      <c r="D7" s="67"/>
      <c r="E7" s="360"/>
      <c r="F7" s="80"/>
      <c r="G7" s="80"/>
      <c r="H7" s="80"/>
      <c r="I7" s="80"/>
      <c r="J7" s="80"/>
      <c r="K7" s="80"/>
      <c r="L7" s="80"/>
      <c r="M7" s="80"/>
      <c r="N7" s="80"/>
      <c r="O7" s="669"/>
      <c r="P7" s="673">
        <v>16</v>
      </c>
      <c r="Q7" s="85"/>
      <c r="R7" s="151"/>
      <c r="S7" s="81"/>
      <c r="T7" s="81"/>
      <c r="U7" s="81"/>
      <c r="V7" s="665"/>
      <c r="W7" s="657"/>
      <c r="X7" s="657"/>
      <c r="Y7" s="658"/>
      <c r="Z7" s="658"/>
      <c r="AA7" s="129"/>
    </row>
    <row r="8" spans="1:27" x14ac:dyDescent="0.2">
      <c r="A8" s="82" t="s">
        <v>14</v>
      </c>
      <c r="B8" s="180">
        <v>200</v>
      </c>
      <c r="C8" s="603">
        <v>46106</v>
      </c>
      <c r="D8" s="67"/>
      <c r="E8" s="360"/>
      <c r="F8" s="80"/>
      <c r="G8" s="80"/>
      <c r="H8" s="80"/>
      <c r="I8" s="80"/>
      <c r="J8" s="80"/>
      <c r="K8" s="80"/>
      <c r="L8" s="80"/>
      <c r="M8" s="80"/>
      <c r="N8" s="80"/>
      <c r="O8" s="669"/>
      <c r="P8" s="673">
        <v>16</v>
      </c>
      <c r="Q8" s="85"/>
      <c r="R8" s="151"/>
      <c r="S8" s="81"/>
      <c r="T8" s="81"/>
      <c r="U8" s="81"/>
      <c r="V8" s="665"/>
      <c r="W8" s="657"/>
      <c r="X8" s="657"/>
      <c r="Y8" s="658"/>
      <c r="Z8" s="658"/>
      <c r="AA8" s="129"/>
    </row>
    <row r="9" spans="1:27" x14ac:dyDescent="0.2">
      <c r="A9" s="82" t="s">
        <v>15</v>
      </c>
      <c r="B9" s="67"/>
      <c r="C9" s="155"/>
      <c r="D9" s="67"/>
      <c r="E9" s="360"/>
      <c r="F9" s="80"/>
      <c r="G9" s="80"/>
      <c r="H9" s="80"/>
      <c r="I9" s="80"/>
      <c r="J9" s="80"/>
      <c r="K9" s="80"/>
      <c r="L9" s="80"/>
      <c r="M9" s="80"/>
      <c r="N9" s="80"/>
      <c r="O9" s="669"/>
      <c r="P9" s="673">
        <v>31.6</v>
      </c>
      <c r="Q9" s="85"/>
      <c r="R9" s="86"/>
      <c r="S9" s="81"/>
      <c r="T9" s="81"/>
      <c r="U9" s="81"/>
      <c r="V9" s="665"/>
      <c r="W9" s="657"/>
      <c r="X9" s="657"/>
      <c r="Y9" s="658"/>
      <c r="Z9" s="658"/>
      <c r="AA9" s="129"/>
    </row>
    <row r="10" spans="1:27" x14ac:dyDescent="0.2">
      <c r="A10" s="82" t="s">
        <v>17</v>
      </c>
      <c r="B10" s="67">
        <v>1500</v>
      </c>
      <c r="C10" s="155"/>
      <c r="D10" s="67">
        <v>1500</v>
      </c>
      <c r="E10" s="360"/>
      <c r="F10" s="87" t="s">
        <v>28</v>
      </c>
      <c r="G10" s="87"/>
      <c r="H10" s="80"/>
      <c r="I10" s="80"/>
      <c r="J10" s="80"/>
      <c r="K10" s="80"/>
      <c r="L10" s="80"/>
      <c r="M10" s="80"/>
      <c r="N10" s="80"/>
      <c r="O10" s="669"/>
      <c r="P10" s="673">
        <v>13</v>
      </c>
      <c r="Q10" s="85"/>
      <c r="R10" s="86"/>
      <c r="S10" s="81"/>
      <c r="T10" s="81"/>
      <c r="U10" s="81"/>
      <c r="V10" s="665"/>
      <c r="W10" s="657"/>
      <c r="X10" s="657"/>
      <c r="Y10" s="658"/>
      <c r="Z10" s="658"/>
      <c r="AA10" s="129"/>
    </row>
    <row r="11" spans="1:27" x14ac:dyDescent="0.2">
      <c r="A11" s="82" t="s">
        <v>18</v>
      </c>
      <c r="B11" s="180">
        <v>970</v>
      </c>
      <c r="C11" s="603">
        <v>46113</v>
      </c>
      <c r="D11" s="67"/>
      <c r="E11" s="360"/>
      <c r="F11" s="80"/>
      <c r="G11" s="80"/>
      <c r="H11" s="80"/>
      <c r="I11" s="80"/>
      <c r="J11" s="80"/>
      <c r="K11" s="80"/>
      <c r="L11" s="80"/>
      <c r="M11" s="80"/>
      <c r="N11" s="80"/>
      <c r="O11" s="669"/>
      <c r="P11" s="673"/>
      <c r="Q11" s="85"/>
      <c r="R11" s="86"/>
      <c r="S11" s="81"/>
      <c r="T11" s="81"/>
      <c r="U11" s="81"/>
      <c r="V11" s="665"/>
      <c r="W11" s="657"/>
      <c r="X11" s="657"/>
      <c r="Y11" s="658"/>
      <c r="Z11" s="658"/>
      <c r="AA11" s="129"/>
    </row>
    <row r="12" spans="1:27" x14ac:dyDescent="0.2">
      <c r="A12" s="82" t="s">
        <v>19</v>
      </c>
      <c r="B12" s="67">
        <v>365</v>
      </c>
      <c r="C12" s="155"/>
      <c r="D12" s="67">
        <v>365</v>
      </c>
      <c r="E12" s="360"/>
      <c r="F12" s="80"/>
      <c r="G12" s="80"/>
      <c r="H12" s="80"/>
      <c r="I12" s="80"/>
      <c r="J12" s="80"/>
      <c r="K12" s="80"/>
      <c r="L12" s="80"/>
      <c r="M12" s="80"/>
      <c r="N12" s="80"/>
      <c r="O12" s="669"/>
      <c r="P12" s="673"/>
      <c r="Q12" s="85"/>
      <c r="R12" s="86"/>
      <c r="S12" s="81"/>
      <c r="T12" s="81"/>
      <c r="U12" s="81"/>
      <c r="V12" s="665"/>
      <c r="W12" s="657"/>
      <c r="X12" s="657"/>
      <c r="Y12" s="658"/>
      <c r="Z12" s="658"/>
      <c r="AA12" s="129"/>
    </row>
    <row r="13" spans="1:27" x14ac:dyDescent="0.2">
      <c r="A13" s="82" t="s">
        <v>122</v>
      </c>
      <c r="B13" s="67">
        <v>500</v>
      </c>
      <c r="C13" s="155"/>
      <c r="D13" s="67">
        <v>500</v>
      </c>
      <c r="E13" s="360"/>
      <c r="F13" s="80"/>
      <c r="G13" s="80"/>
      <c r="H13" s="80"/>
      <c r="I13" s="80"/>
      <c r="J13" s="80"/>
      <c r="K13" s="80"/>
      <c r="L13" s="80"/>
      <c r="M13" s="80"/>
      <c r="N13" s="80"/>
      <c r="O13" s="669"/>
      <c r="P13" s="673"/>
      <c r="Q13" s="85"/>
      <c r="R13" s="86"/>
      <c r="S13" s="81"/>
      <c r="T13" s="81"/>
      <c r="U13" s="81"/>
      <c r="V13" s="665"/>
      <c r="W13" s="657"/>
      <c r="X13" s="657"/>
      <c r="Y13" s="658"/>
      <c r="Z13" s="658"/>
      <c r="AA13" s="129"/>
    </row>
    <row r="14" spans="1:27" ht="15.75" thickBot="1" x14ac:dyDescent="0.25">
      <c r="A14" s="589" t="s">
        <v>13</v>
      </c>
      <c r="B14" s="564">
        <v>175</v>
      </c>
      <c r="C14" s="590"/>
      <c r="D14" s="564">
        <v>175</v>
      </c>
      <c r="E14" s="591"/>
      <c r="F14" s="80"/>
      <c r="G14" s="80"/>
      <c r="H14" s="80"/>
      <c r="I14" s="80"/>
      <c r="J14" s="80"/>
      <c r="K14" s="80"/>
      <c r="L14" s="80"/>
      <c r="M14" s="80"/>
      <c r="N14" s="80"/>
      <c r="O14" s="670"/>
      <c r="P14" s="674">
        <f>SUM(P3:P13)</f>
        <v>453.6</v>
      </c>
      <c r="Q14" s="85"/>
      <c r="R14" s="86">
        <f>SUM(R3:R13)</f>
        <v>1190</v>
      </c>
      <c r="S14" s="81"/>
      <c r="T14" s="81"/>
      <c r="U14" s="81"/>
      <c r="V14" s="208"/>
      <c r="W14" s="667"/>
      <c r="X14" s="667"/>
      <c r="Y14" s="668"/>
      <c r="Z14" s="668"/>
      <c r="AA14" s="135"/>
    </row>
    <row r="15" spans="1:27" x14ac:dyDescent="0.2">
      <c r="A15" s="128" t="s">
        <v>97</v>
      </c>
      <c r="B15" s="564">
        <v>2000</v>
      </c>
      <c r="C15" s="151"/>
      <c r="D15" s="564">
        <v>810</v>
      </c>
      <c r="E15" s="129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1"/>
      <c r="T15" s="81"/>
      <c r="U15" s="81"/>
      <c r="V15" s="81"/>
    </row>
    <row r="16" spans="1:27" x14ac:dyDescent="0.2">
      <c r="A16" s="128"/>
      <c r="B16" s="151"/>
      <c r="C16" s="564"/>
      <c r="D16" s="151"/>
      <c r="E16" s="129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1"/>
      <c r="T16" s="81"/>
      <c r="U16" s="81"/>
      <c r="V16" s="81"/>
    </row>
    <row r="17" spans="1:22" x14ac:dyDescent="0.2">
      <c r="A17" s="128"/>
      <c r="B17" s="151"/>
      <c r="C17" s="151"/>
      <c r="D17" s="151"/>
      <c r="E17" s="129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1"/>
      <c r="T17" s="81"/>
      <c r="U17" s="81"/>
      <c r="V17" s="81"/>
    </row>
    <row r="18" spans="1:22" ht="15.75" thickBot="1" x14ac:dyDescent="0.25">
      <c r="A18" s="133"/>
      <c r="B18" s="606"/>
      <c r="C18" s="606"/>
      <c r="D18" s="606"/>
      <c r="E18" s="135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1"/>
      <c r="T18" s="81"/>
      <c r="U18" s="81"/>
      <c r="V18" s="81"/>
    </row>
    <row r="19" spans="1:22" x14ac:dyDescent="0.2">
      <c r="A19" s="8"/>
      <c r="B19" s="14">
        <f>SUM(B2:B18)</f>
        <v>8798</v>
      </c>
      <c r="C19" s="8"/>
      <c r="D19" s="597">
        <f>SUM(D2:D18)</f>
        <v>3350</v>
      </c>
      <c r="E19" s="8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1"/>
      <c r="T19" s="81"/>
      <c r="U19" s="81"/>
      <c r="V19" s="81"/>
    </row>
    <row r="20" spans="1:22" x14ac:dyDescent="0.2">
      <c r="A20" s="8"/>
      <c r="B20" s="8"/>
      <c r="C20" s="8"/>
      <c r="D20" s="143"/>
      <c r="E20" s="8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1"/>
      <c r="T20" s="81"/>
      <c r="U20" s="81"/>
      <c r="V20" s="81"/>
    </row>
    <row r="21" spans="1:22" x14ac:dyDescent="0.2">
      <c r="A21" s="8"/>
      <c r="B21" s="8"/>
      <c r="C21" s="8"/>
      <c r="D21" s="143"/>
      <c r="E21" s="8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  <c r="T21" s="81"/>
      <c r="U21" s="81"/>
      <c r="V21" s="81"/>
    </row>
    <row r="22" spans="1:22" ht="15.75" thickBot="1" x14ac:dyDescent="0.25">
      <c r="A22" s="8"/>
      <c r="B22" s="8"/>
      <c r="C22" s="8"/>
      <c r="D22" s="143"/>
      <c r="E22" s="8"/>
      <c r="F22" s="80"/>
      <c r="G22" s="80"/>
      <c r="H22" s="80"/>
      <c r="I22" s="80"/>
      <c r="J22" s="80"/>
      <c r="K22" s="80"/>
      <c r="L22" s="80"/>
      <c r="M22" s="89"/>
      <c r="N22" s="80"/>
      <c r="O22" s="80"/>
      <c r="P22" s="80"/>
      <c r="Q22" s="80"/>
      <c r="R22" s="80"/>
      <c r="S22" s="81"/>
      <c r="T22" s="81"/>
      <c r="U22" s="81"/>
      <c r="V22" s="81"/>
    </row>
    <row r="23" spans="1:22" x14ac:dyDescent="0.2">
      <c r="A23" s="681" t="s">
        <v>30</v>
      </c>
      <c r="B23" s="681"/>
      <c r="C23" s="681"/>
      <c r="D23" s="681"/>
      <c r="E23" s="681"/>
      <c r="F23" s="80"/>
      <c r="G23" s="677" t="s">
        <v>20</v>
      </c>
      <c r="H23" s="678"/>
      <c r="I23" s="678"/>
      <c r="J23" s="678"/>
      <c r="K23" s="678"/>
      <c r="L23" s="646" t="s">
        <v>21</v>
      </c>
      <c r="M23" s="91"/>
      <c r="N23" s="679" t="s">
        <v>22</v>
      </c>
      <c r="O23" s="680"/>
      <c r="P23" s="680"/>
      <c r="Q23" s="680"/>
      <c r="R23" s="680"/>
      <c r="S23" s="612" t="s">
        <v>21</v>
      </c>
      <c r="T23" s="81"/>
      <c r="U23" s="81"/>
      <c r="V23" s="81"/>
    </row>
    <row r="24" spans="1:22" x14ac:dyDescent="0.2">
      <c r="A24" s="125" t="s">
        <v>24</v>
      </c>
      <c r="B24" s="125" t="s">
        <v>1</v>
      </c>
      <c r="C24" s="125" t="s">
        <v>2</v>
      </c>
      <c r="D24" s="144" t="s">
        <v>25</v>
      </c>
      <c r="E24" s="125"/>
      <c r="F24" s="80"/>
      <c r="G24" s="366" t="s">
        <v>24</v>
      </c>
      <c r="H24" s="125" t="s">
        <v>1</v>
      </c>
      <c r="I24" s="635" t="s">
        <v>2</v>
      </c>
      <c r="J24" s="125" t="s">
        <v>25</v>
      </c>
      <c r="K24" s="125" t="s">
        <v>3</v>
      </c>
      <c r="L24" s="647"/>
      <c r="M24" s="91"/>
      <c r="N24" s="221" t="s">
        <v>24</v>
      </c>
      <c r="O24" s="94" t="s">
        <v>1</v>
      </c>
      <c r="P24" s="94" t="s">
        <v>2</v>
      </c>
      <c r="Q24" s="94" t="s">
        <v>25</v>
      </c>
      <c r="R24" s="94" t="s">
        <v>6</v>
      </c>
      <c r="S24" s="613"/>
      <c r="T24" s="81"/>
      <c r="U24" s="81"/>
      <c r="V24" s="81"/>
    </row>
    <row r="25" spans="1:22" x14ac:dyDescent="0.2">
      <c r="A25" s="607" t="s">
        <v>70</v>
      </c>
      <c r="B25" s="5">
        <v>1004</v>
      </c>
      <c r="C25" s="567">
        <v>45784</v>
      </c>
      <c r="D25" s="6" t="s">
        <v>71</v>
      </c>
      <c r="E25" s="203"/>
      <c r="F25" s="80"/>
      <c r="G25" s="648" t="s">
        <v>70</v>
      </c>
      <c r="H25" s="35">
        <v>61</v>
      </c>
      <c r="I25" s="636">
        <v>45784</v>
      </c>
      <c r="J25" s="568" t="s">
        <v>71</v>
      </c>
      <c r="K25" s="160"/>
      <c r="L25" s="417"/>
      <c r="M25" s="443"/>
      <c r="N25" s="319" t="s">
        <v>76</v>
      </c>
      <c r="O25" s="35">
        <v>60</v>
      </c>
      <c r="P25" s="567">
        <v>9470</v>
      </c>
      <c r="Q25" s="568" t="s">
        <v>77</v>
      </c>
      <c r="R25" s="105"/>
      <c r="S25" s="613"/>
      <c r="T25" s="81"/>
      <c r="U25" s="81"/>
      <c r="V25" s="81"/>
    </row>
    <row r="26" spans="1:22" x14ac:dyDescent="0.2">
      <c r="A26" s="607" t="s">
        <v>72</v>
      </c>
      <c r="B26" s="5">
        <v>1652</v>
      </c>
      <c r="C26" s="159">
        <v>9371</v>
      </c>
      <c r="D26" s="6" t="s">
        <v>73</v>
      </c>
      <c r="E26" s="203"/>
      <c r="F26" s="80"/>
      <c r="G26" s="648" t="s">
        <v>72</v>
      </c>
      <c r="H26" s="35">
        <v>130</v>
      </c>
      <c r="I26" s="636">
        <v>9371</v>
      </c>
      <c r="J26" s="568" t="s">
        <v>73</v>
      </c>
      <c r="K26" s="160"/>
      <c r="L26" s="417"/>
      <c r="M26" s="443"/>
      <c r="N26" s="319" t="s">
        <v>78</v>
      </c>
      <c r="O26" s="35">
        <v>93</v>
      </c>
      <c r="P26" s="567">
        <v>9471</v>
      </c>
      <c r="Q26" s="568" t="s">
        <v>77</v>
      </c>
      <c r="R26" s="105"/>
      <c r="S26" s="613"/>
      <c r="T26" s="81"/>
      <c r="U26" s="81"/>
      <c r="V26" s="81"/>
    </row>
    <row r="27" spans="1:22" x14ac:dyDescent="0.2">
      <c r="A27" s="607" t="s">
        <v>74</v>
      </c>
      <c r="B27" s="5">
        <v>1972</v>
      </c>
      <c r="C27" s="567">
        <v>45971</v>
      </c>
      <c r="D27" s="6" t="s">
        <v>75</v>
      </c>
      <c r="E27" s="203"/>
      <c r="F27" s="80"/>
      <c r="G27" s="648" t="s">
        <v>74</v>
      </c>
      <c r="H27" s="35">
        <v>104</v>
      </c>
      <c r="I27" s="636">
        <v>45971</v>
      </c>
      <c r="J27" s="568" t="s">
        <v>75</v>
      </c>
      <c r="K27" s="160"/>
      <c r="L27" s="417"/>
      <c r="M27" s="443"/>
      <c r="N27" s="614" t="s">
        <v>19</v>
      </c>
      <c r="O27" s="5">
        <v>78</v>
      </c>
      <c r="P27" s="567">
        <v>46082</v>
      </c>
      <c r="Q27" s="105">
        <v>1</v>
      </c>
      <c r="R27" s="105"/>
      <c r="S27" s="613"/>
      <c r="T27" s="81"/>
      <c r="U27" s="81"/>
      <c r="V27" s="81"/>
    </row>
    <row r="28" spans="1:22" x14ac:dyDescent="0.2">
      <c r="A28" s="607" t="s">
        <v>76</v>
      </c>
      <c r="B28" s="5">
        <v>1774</v>
      </c>
      <c r="C28" s="159">
        <v>9470</v>
      </c>
      <c r="D28" s="6" t="s">
        <v>77</v>
      </c>
      <c r="E28" s="197"/>
      <c r="F28" s="80"/>
      <c r="G28" s="648" t="s">
        <v>76</v>
      </c>
      <c r="H28" s="35">
        <v>60</v>
      </c>
      <c r="I28" s="636" t="s">
        <v>85</v>
      </c>
      <c r="J28" s="568" t="s">
        <v>77</v>
      </c>
      <c r="K28" s="160"/>
      <c r="L28" s="417"/>
      <c r="M28" s="443"/>
      <c r="N28" s="625" t="s">
        <v>121</v>
      </c>
      <c r="O28" s="626">
        <v>395</v>
      </c>
      <c r="P28" s="623">
        <v>46085</v>
      </c>
      <c r="Q28" s="627">
        <v>1</v>
      </c>
      <c r="R28" s="627" t="s">
        <v>6</v>
      </c>
      <c r="S28" s="613"/>
      <c r="T28" s="81"/>
      <c r="U28" s="81"/>
      <c r="V28" s="81"/>
    </row>
    <row r="29" spans="1:22" x14ac:dyDescent="0.2">
      <c r="A29" s="607" t="s">
        <v>78</v>
      </c>
      <c r="B29" s="5">
        <v>2761</v>
      </c>
      <c r="C29" s="159">
        <v>9471</v>
      </c>
      <c r="D29" s="6" t="s">
        <v>77</v>
      </c>
      <c r="E29" s="197"/>
      <c r="F29" s="80"/>
      <c r="G29" s="648" t="s">
        <v>78</v>
      </c>
      <c r="H29" s="35">
        <v>93</v>
      </c>
      <c r="I29" s="636">
        <v>9471</v>
      </c>
      <c r="J29" s="568" t="s">
        <v>77</v>
      </c>
      <c r="K29" s="160"/>
      <c r="L29" s="417"/>
      <c r="M29" s="443"/>
      <c r="N29" s="224" t="s">
        <v>31</v>
      </c>
      <c r="O29" s="103">
        <v>95</v>
      </c>
      <c r="P29" s="104"/>
      <c r="Q29" s="105"/>
      <c r="R29" s="105"/>
      <c r="S29" s="615"/>
      <c r="T29" s="109">
        <f>SUM(O25:O27)</f>
        <v>231</v>
      </c>
      <c r="U29" s="81"/>
      <c r="V29" s="81"/>
    </row>
    <row r="30" spans="1:22" ht="16.5" customHeight="1" x14ac:dyDescent="0.2">
      <c r="A30" s="629" t="s">
        <v>118</v>
      </c>
      <c r="B30" s="180">
        <v>61</v>
      </c>
      <c r="C30" s="623">
        <v>46081</v>
      </c>
      <c r="D30" s="624">
        <v>1</v>
      </c>
      <c r="E30" s="630" t="s">
        <v>66</v>
      </c>
      <c r="F30" s="80"/>
      <c r="G30" s="649" t="s">
        <v>118</v>
      </c>
      <c r="H30" s="180">
        <v>61</v>
      </c>
      <c r="I30" s="642">
        <v>46081</v>
      </c>
      <c r="J30" s="624">
        <v>1</v>
      </c>
      <c r="K30" s="624" t="s">
        <v>66</v>
      </c>
      <c r="L30" s="417"/>
      <c r="M30" s="91"/>
      <c r="N30" s="128"/>
      <c r="O30" s="149"/>
      <c r="P30" s="107"/>
      <c r="Q30" s="105"/>
      <c r="R30" s="105"/>
      <c r="S30" s="613"/>
      <c r="T30" s="109"/>
      <c r="U30" s="81"/>
      <c r="V30" s="81"/>
    </row>
    <row r="31" spans="1:22" x14ac:dyDescent="0.2">
      <c r="A31" s="181" t="s">
        <v>19</v>
      </c>
      <c r="B31" s="67">
        <v>156</v>
      </c>
      <c r="C31" s="567">
        <v>46082</v>
      </c>
      <c r="D31" s="160">
        <v>1</v>
      </c>
      <c r="E31" s="203"/>
      <c r="F31" s="91"/>
      <c r="G31" s="650" t="s">
        <v>19</v>
      </c>
      <c r="H31" s="5">
        <v>78</v>
      </c>
      <c r="I31" s="636">
        <v>46082</v>
      </c>
      <c r="J31" s="160">
        <v>1</v>
      </c>
      <c r="K31" s="160"/>
      <c r="L31" s="417"/>
      <c r="M31" s="91"/>
      <c r="N31" s="224"/>
      <c r="O31" s="103"/>
      <c r="P31" s="104"/>
      <c r="Q31" s="105"/>
      <c r="R31" s="105"/>
      <c r="S31" s="613"/>
      <c r="T31" s="81"/>
      <c r="U31" s="81"/>
      <c r="V31" s="81"/>
    </row>
    <row r="32" spans="1:22" x14ac:dyDescent="0.2">
      <c r="A32" s="629" t="s">
        <v>119</v>
      </c>
      <c r="B32" s="180">
        <v>172</v>
      </c>
      <c r="C32" s="623">
        <v>46083</v>
      </c>
      <c r="D32" s="624">
        <v>1</v>
      </c>
      <c r="E32" s="630" t="s">
        <v>66</v>
      </c>
      <c r="F32" s="110"/>
      <c r="G32" s="649" t="s">
        <v>119</v>
      </c>
      <c r="H32" s="180">
        <v>172</v>
      </c>
      <c r="I32" s="642">
        <v>46083</v>
      </c>
      <c r="J32" s="624">
        <v>1</v>
      </c>
      <c r="K32" s="624" t="s">
        <v>66</v>
      </c>
      <c r="L32" s="417"/>
      <c r="M32" s="91"/>
      <c r="N32" s="224"/>
      <c r="O32" s="103"/>
      <c r="P32" s="104"/>
      <c r="Q32" s="105"/>
      <c r="R32" s="105"/>
      <c r="S32" s="613"/>
      <c r="T32" s="81"/>
      <c r="U32" s="81"/>
      <c r="V32" s="81"/>
    </row>
    <row r="33" spans="1:22" x14ac:dyDescent="0.2">
      <c r="A33" s="629" t="s">
        <v>120</v>
      </c>
      <c r="B33" s="180">
        <v>269</v>
      </c>
      <c r="C33" s="623">
        <v>46085</v>
      </c>
      <c r="D33" s="624">
        <v>1</v>
      </c>
      <c r="E33" s="630" t="s">
        <v>66</v>
      </c>
      <c r="F33" s="91"/>
      <c r="G33" s="649" t="s">
        <v>120</v>
      </c>
      <c r="H33" s="180">
        <v>269</v>
      </c>
      <c r="I33" s="642">
        <v>46084</v>
      </c>
      <c r="J33" s="624">
        <v>1</v>
      </c>
      <c r="K33" s="624" t="s">
        <v>66</v>
      </c>
      <c r="L33" s="417"/>
      <c r="M33" s="91"/>
      <c r="N33" s="224"/>
      <c r="O33" s="103"/>
      <c r="P33" s="104"/>
      <c r="Q33" s="105"/>
      <c r="R33" s="105"/>
      <c r="S33" s="613"/>
      <c r="T33" s="81"/>
      <c r="U33" s="81"/>
      <c r="V33" s="81"/>
    </row>
    <row r="34" spans="1:22" x14ac:dyDescent="0.2">
      <c r="A34" s="631" t="s">
        <v>121</v>
      </c>
      <c r="B34" s="626">
        <v>395</v>
      </c>
      <c r="C34" s="623">
        <v>46085</v>
      </c>
      <c r="D34" s="632">
        <v>1</v>
      </c>
      <c r="E34" s="633" t="s">
        <v>66</v>
      </c>
      <c r="F34" s="91"/>
      <c r="G34" s="370" t="s">
        <v>100</v>
      </c>
      <c r="H34" s="158">
        <v>184</v>
      </c>
      <c r="I34" s="159">
        <v>46106</v>
      </c>
      <c r="J34" s="160">
        <v>1</v>
      </c>
      <c r="K34" s="160"/>
      <c r="L34" s="417"/>
      <c r="M34" s="91"/>
      <c r="N34" s="224"/>
      <c r="O34" s="103"/>
      <c r="P34" s="104"/>
      <c r="Q34" s="105"/>
      <c r="R34" s="105"/>
      <c r="S34" s="613"/>
      <c r="T34" s="81"/>
      <c r="U34" s="111"/>
      <c r="V34" s="81"/>
    </row>
    <row r="35" spans="1:22" x14ac:dyDescent="0.2">
      <c r="A35" s="639" t="s">
        <v>124</v>
      </c>
      <c r="B35" s="640">
        <v>356</v>
      </c>
      <c r="C35" s="641">
        <v>46092</v>
      </c>
      <c r="D35" s="624">
        <v>1</v>
      </c>
      <c r="E35" s="630" t="s">
        <v>66</v>
      </c>
      <c r="F35" s="91"/>
      <c r="G35" s="651"/>
      <c r="H35" s="149"/>
      <c r="I35" s="637"/>
      <c r="J35" s="567"/>
      <c r="K35" s="160"/>
      <c r="L35" s="417"/>
      <c r="M35" s="91"/>
      <c r="N35" s="224"/>
      <c r="O35" s="103"/>
      <c r="P35" s="104"/>
      <c r="Q35" s="105"/>
      <c r="R35" s="105"/>
      <c r="S35" s="613"/>
      <c r="T35" s="81"/>
      <c r="U35" s="81"/>
      <c r="V35" s="81"/>
    </row>
    <row r="36" spans="1:22" x14ac:dyDescent="0.2">
      <c r="A36" s="639" t="s">
        <v>123</v>
      </c>
      <c r="B36" s="640">
        <v>100</v>
      </c>
      <c r="C36" s="641">
        <v>46092</v>
      </c>
      <c r="D36" s="624">
        <v>1</v>
      </c>
      <c r="E36" s="630" t="s">
        <v>66</v>
      </c>
      <c r="F36" s="80"/>
      <c r="G36" s="372"/>
      <c r="H36" s="149"/>
      <c r="I36" s="636"/>
      <c r="J36" s="85"/>
      <c r="K36" s="85"/>
      <c r="L36" s="417"/>
      <c r="M36" s="91"/>
      <c r="N36" s="224"/>
      <c r="O36" s="103"/>
      <c r="P36" s="105"/>
      <c r="Q36" s="105"/>
      <c r="R36" s="105"/>
      <c r="S36" s="613"/>
      <c r="T36" s="81"/>
      <c r="U36" s="81"/>
      <c r="V36" s="81"/>
    </row>
    <row r="37" spans="1:22" x14ac:dyDescent="0.2">
      <c r="A37" s="463" t="s">
        <v>100</v>
      </c>
      <c r="B37" s="158">
        <v>184</v>
      </c>
      <c r="C37" s="159">
        <v>46106</v>
      </c>
      <c r="D37" s="160">
        <v>1</v>
      </c>
      <c r="E37" s="203"/>
      <c r="F37" s="80"/>
      <c r="G37" s="372"/>
      <c r="H37" s="149"/>
      <c r="I37" s="637"/>
      <c r="J37" s="85"/>
      <c r="K37" s="85"/>
      <c r="L37" s="417"/>
      <c r="M37" s="91"/>
      <c r="N37" s="224"/>
      <c r="O37" s="103"/>
      <c r="P37" s="105"/>
      <c r="Q37" s="105"/>
      <c r="R37" s="105"/>
      <c r="S37" s="613"/>
      <c r="T37" s="81"/>
      <c r="U37" s="81"/>
      <c r="V37" s="81"/>
    </row>
    <row r="38" spans="1:22" x14ac:dyDescent="0.2">
      <c r="A38" s="463"/>
      <c r="B38" s="67"/>
      <c r="C38" s="610"/>
      <c r="D38" s="141"/>
      <c r="E38" s="203"/>
      <c r="F38" s="80"/>
      <c r="G38" s="372"/>
      <c r="H38" s="149"/>
      <c r="I38" s="637"/>
      <c r="J38" s="85"/>
      <c r="K38" s="85"/>
      <c r="L38" s="417"/>
      <c r="M38" s="91"/>
      <c r="N38" s="224"/>
      <c r="O38" s="103"/>
      <c r="P38" s="105"/>
      <c r="Q38" s="105"/>
      <c r="R38" s="105"/>
      <c r="S38" s="613"/>
      <c r="T38" s="81"/>
      <c r="U38" s="81"/>
      <c r="V38" s="81"/>
    </row>
    <row r="39" spans="1:22" x14ac:dyDescent="0.2">
      <c r="A39" s="608"/>
      <c r="B39" s="564"/>
      <c r="C39" s="611"/>
      <c r="D39" s="565"/>
      <c r="E39" s="467"/>
      <c r="F39" s="80"/>
      <c r="G39" s="372"/>
      <c r="H39" s="149"/>
      <c r="I39" s="637"/>
      <c r="J39" s="85"/>
      <c r="K39" s="85"/>
      <c r="L39" s="417"/>
      <c r="M39" s="91"/>
      <c r="N39" s="616"/>
      <c r="O39" s="112"/>
      <c r="P39" s="113"/>
      <c r="Q39" s="113"/>
      <c r="R39" s="113"/>
      <c r="S39" s="613"/>
      <c r="T39" s="81"/>
      <c r="U39" s="81"/>
      <c r="V39" s="81"/>
    </row>
    <row r="40" spans="1:22" x14ac:dyDescent="0.2">
      <c r="A40" s="609"/>
      <c r="B40" s="67"/>
      <c r="C40" s="610"/>
      <c r="D40" s="141"/>
      <c r="E40" s="160"/>
      <c r="F40" s="80"/>
      <c r="G40" s="372"/>
      <c r="H40" s="106"/>
      <c r="I40" s="637"/>
      <c r="J40" s="85"/>
      <c r="K40" s="85"/>
      <c r="L40" s="417"/>
      <c r="M40" s="91"/>
      <c r="N40" s="616"/>
      <c r="O40" s="112"/>
      <c r="P40" s="113"/>
      <c r="Q40" s="113"/>
      <c r="R40" s="113"/>
      <c r="S40" s="613"/>
      <c r="T40" s="81"/>
      <c r="U40" s="81"/>
      <c r="V40" s="81"/>
    </row>
    <row r="41" spans="1:22" x14ac:dyDescent="0.2">
      <c r="A41" s="609"/>
      <c r="B41" s="67"/>
      <c r="C41" s="610"/>
      <c r="D41" s="141"/>
      <c r="E41" s="160"/>
      <c r="F41" s="80"/>
      <c r="G41" s="652"/>
      <c r="H41" s="106"/>
      <c r="I41" s="637"/>
      <c r="J41" s="85"/>
      <c r="K41" s="85"/>
      <c r="L41" s="417"/>
      <c r="M41" s="91"/>
      <c r="N41" s="616"/>
      <c r="O41" s="112"/>
      <c r="P41" s="113"/>
      <c r="Q41" s="113"/>
      <c r="R41" s="113"/>
      <c r="S41" s="613"/>
      <c r="T41" s="81"/>
      <c r="U41" s="81"/>
      <c r="V41" s="81"/>
    </row>
    <row r="42" spans="1:22" ht="15.75" thickBot="1" x14ac:dyDescent="0.25">
      <c r="A42" s="81"/>
      <c r="B42" s="81"/>
      <c r="C42" s="81"/>
      <c r="D42" s="81"/>
      <c r="E42" s="81"/>
      <c r="F42" s="80"/>
      <c r="G42" s="653"/>
      <c r="H42" s="86"/>
      <c r="I42" s="638"/>
      <c r="J42" s="85"/>
      <c r="K42" s="85"/>
      <c r="L42" s="417"/>
      <c r="M42" s="91"/>
      <c r="N42" s="617"/>
      <c r="O42" s="618"/>
      <c r="P42" s="619"/>
      <c r="Q42" s="619"/>
      <c r="R42" s="619"/>
      <c r="S42" s="620"/>
      <c r="T42" s="81"/>
      <c r="U42" s="81"/>
      <c r="V42" s="81"/>
    </row>
    <row r="43" spans="1:22" x14ac:dyDescent="0.2">
      <c r="A43" s="81"/>
      <c r="B43" s="81"/>
      <c r="C43" s="81"/>
      <c r="D43" s="81"/>
      <c r="E43" s="81"/>
      <c r="F43" s="81"/>
      <c r="G43" s="653"/>
      <c r="H43" s="86"/>
      <c r="I43" s="638"/>
      <c r="J43" s="206"/>
      <c r="K43" s="172"/>
      <c r="L43" s="419"/>
      <c r="M43" s="174"/>
      <c r="N43" s="81"/>
      <c r="O43" s="123">
        <f>SUM(O25:O27)</f>
        <v>231</v>
      </c>
      <c r="P43" s="81"/>
      <c r="Q43" s="81"/>
      <c r="R43" s="81"/>
      <c r="S43" s="81"/>
      <c r="T43" s="123">
        <f>O43-T30</f>
        <v>231</v>
      </c>
      <c r="U43" s="81"/>
      <c r="V43" s="81"/>
    </row>
    <row r="44" spans="1:22" ht="15.75" thickBot="1" x14ac:dyDescent="0.25">
      <c r="A44" s="81"/>
      <c r="B44" s="109">
        <f>SUM(B25:B43)</f>
        <v>10856</v>
      </c>
      <c r="C44" s="81"/>
      <c r="D44" s="81"/>
      <c r="E44" s="634">
        <f>SUM(B30,B32,B33,B34)</f>
        <v>897</v>
      </c>
      <c r="F44" s="81"/>
      <c r="G44" s="654"/>
      <c r="H44" s="655"/>
      <c r="I44" s="656"/>
      <c r="J44" s="378"/>
      <c r="K44" s="424"/>
      <c r="L44" s="425"/>
      <c r="M44" s="81"/>
      <c r="N44" s="81"/>
      <c r="O44" s="81"/>
      <c r="P44" s="81"/>
      <c r="Q44" s="81"/>
      <c r="R44" s="81"/>
      <c r="S44" s="81"/>
      <c r="T44" s="111"/>
      <c r="U44" s="81"/>
      <c r="V44" s="81"/>
    </row>
    <row r="45" spans="1:22" x14ac:dyDescent="0.2">
      <c r="H45" s="44">
        <f>SUM(H25:H29,H31,H34)</f>
        <v>710</v>
      </c>
      <c r="L45" s="628">
        <f>SUM(H25,H26,H27,H28,H29,H31)</f>
        <v>526</v>
      </c>
    </row>
    <row r="47" spans="1:22" x14ac:dyDescent="0.2">
      <c r="O47">
        <v>515000</v>
      </c>
    </row>
    <row r="49" spans="7:9" x14ac:dyDescent="0.2">
      <c r="G49" s="40" t="s">
        <v>27</v>
      </c>
      <c r="H49" s="41">
        <f>SUM(H43+O43)</f>
        <v>231</v>
      </c>
      <c r="I49" s="431"/>
    </row>
  </sheetData>
  <mergeCells count="4">
    <mergeCell ref="O2:P2"/>
    <mergeCell ref="G23:K23"/>
    <mergeCell ref="N23:R23"/>
    <mergeCell ref="A23:E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8BDE-0AF3-F743-B943-E67ED09803B2}">
  <dimension ref="A1:V55"/>
  <sheetViews>
    <sheetView topLeftCell="A31" zoomScale="73" zoomScaleNormal="150" zoomScaleSheetLayoutView="100" workbookViewId="0">
      <selection activeCell="D2" sqref="D2:E13"/>
    </sheetView>
  </sheetViews>
  <sheetFormatPr defaultColWidth="8.875" defaultRowHeight="15" x14ac:dyDescent="0.2"/>
  <cols>
    <col min="1" max="1" width="14.125" bestFit="1" customWidth="1"/>
    <col min="2" max="2" width="11.296875" bestFit="1" customWidth="1"/>
    <col min="3" max="3" width="9.55078125" bestFit="1" customWidth="1"/>
    <col min="4" max="4" width="8.47265625" bestFit="1" customWidth="1"/>
    <col min="5" max="5" width="10.625" bestFit="1" customWidth="1"/>
    <col min="6" max="6" width="28.515625" customWidth="1"/>
    <col min="7" max="7" width="15.46875" customWidth="1"/>
    <col min="8" max="8" width="11.56640625" bestFit="1" customWidth="1"/>
    <col min="9" max="9" width="9.55078125" bestFit="1" customWidth="1"/>
    <col min="10" max="11" width="8.47265625" bestFit="1" customWidth="1"/>
    <col min="12" max="12" width="11.02734375" bestFit="1" customWidth="1"/>
    <col min="13" max="13" width="8.47265625" bestFit="1" customWidth="1"/>
    <col min="14" max="14" width="14.125" bestFit="1" customWidth="1"/>
    <col min="15" max="15" width="11.296875" bestFit="1" customWidth="1"/>
    <col min="16" max="16" width="9.55078125" bestFit="1" customWidth="1"/>
    <col min="17" max="18" width="8.47265625" bestFit="1" customWidth="1"/>
    <col min="19" max="19" width="19.37109375" customWidth="1"/>
    <col min="20" max="20" width="10.0859375" bestFit="1" customWidth="1"/>
    <col min="21" max="21" width="9.4140625" bestFit="1" customWidth="1"/>
  </cols>
  <sheetData>
    <row r="1" spans="1:22" x14ac:dyDescent="0.2">
      <c r="A1" s="76" t="s">
        <v>0</v>
      </c>
      <c r="B1" s="77" t="s">
        <v>1</v>
      </c>
      <c r="C1" s="78" t="s">
        <v>2</v>
      </c>
      <c r="D1" s="140" t="s">
        <v>3</v>
      </c>
      <c r="E1" s="79" t="s">
        <v>4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1"/>
      <c r="T1" s="81"/>
      <c r="U1" s="81"/>
      <c r="V1" s="81"/>
    </row>
    <row r="2" spans="1:22" x14ac:dyDescent="0.2">
      <c r="A2" s="82" t="s">
        <v>29</v>
      </c>
      <c r="B2" s="67">
        <v>1200</v>
      </c>
      <c r="C2" s="155"/>
      <c r="D2" s="141"/>
      <c r="E2" s="67"/>
      <c r="F2" s="80"/>
      <c r="G2" s="80"/>
      <c r="H2" s="80"/>
      <c r="I2" s="80"/>
      <c r="J2" s="80"/>
      <c r="K2" s="80"/>
      <c r="L2" s="80"/>
      <c r="M2" s="80"/>
      <c r="N2" s="80"/>
      <c r="O2" s="692" t="s">
        <v>7</v>
      </c>
      <c r="P2" s="693"/>
      <c r="Q2" s="80"/>
      <c r="R2" s="80"/>
      <c r="S2" s="81"/>
      <c r="T2" s="81"/>
      <c r="U2" s="81"/>
      <c r="V2" s="81"/>
    </row>
    <row r="3" spans="1:22" x14ac:dyDescent="0.2">
      <c r="A3" s="82" t="s">
        <v>5</v>
      </c>
      <c r="B3" s="67">
        <v>56</v>
      </c>
      <c r="C3" s="155"/>
      <c r="D3" s="141"/>
      <c r="E3" s="67"/>
      <c r="F3" s="80"/>
      <c r="G3" s="80"/>
      <c r="H3" s="80"/>
      <c r="I3" s="80"/>
      <c r="J3" s="80"/>
      <c r="K3" s="80"/>
      <c r="L3" s="80"/>
      <c r="M3" s="80"/>
      <c r="N3" s="80"/>
      <c r="O3" s="83"/>
      <c r="P3" s="84"/>
      <c r="Q3" s="80"/>
      <c r="R3" s="80"/>
      <c r="S3" s="81"/>
      <c r="T3" s="81"/>
      <c r="U3" s="81"/>
      <c r="V3" s="81"/>
    </row>
    <row r="4" spans="1:22" x14ac:dyDescent="0.2">
      <c r="A4" s="82" t="s">
        <v>9</v>
      </c>
      <c r="B4" s="67">
        <v>1060</v>
      </c>
      <c r="C4" s="155"/>
      <c r="D4" s="141"/>
      <c r="E4" s="67"/>
      <c r="F4" s="80"/>
      <c r="G4" s="80"/>
      <c r="H4" s="80"/>
      <c r="I4" s="80"/>
      <c r="J4" s="80"/>
      <c r="K4" s="80"/>
      <c r="L4" s="80"/>
      <c r="M4" s="80"/>
      <c r="N4" s="80"/>
      <c r="O4" s="85"/>
      <c r="P4" s="86"/>
      <c r="Q4" s="80"/>
      <c r="R4" s="80"/>
      <c r="S4" s="81"/>
      <c r="T4" s="81"/>
      <c r="U4" s="81"/>
      <c r="V4" s="81"/>
    </row>
    <row r="5" spans="1:22" x14ac:dyDescent="0.2">
      <c r="A5" s="82" t="s">
        <v>12</v>
      </c>
      <c r="B5" s="67">
        <v>780</v>
      </c>
      <c r="C5" s="155"/>
      <c r="D5" s="141"/>
      <c r="E5" s="67"/>
      <c r="F5" s="80"/>
      <c r="G5" s="80"/>
      <c r="H5" s="80"/>
      <c r="I5" s="80"/>
      <c r="J5" s="80"/>
      <c r="K5" s="80"/>
      <c r="L5" s="80"/>
      <c r="M5" s="80"/>
      <c r="N5" s="80"/>
      <c r="O5" s="85"/>
      <c r="P5" s="86"/>
      <c r="Q5" s="80"/>
      <c r="R5" s="80"/>
      <c r="S5" s="81"/>
      <c r="T5" s="81"/>
      <c r="U5" s="81"/>
      <c r="V5" s="81"/>
    </row>
    <row r="6" spans="1:22" x14ac:dyDescent="0.2">
      <c r="A6" s="82" t="s">
        <v>17</v>
      </c>
      <c r="B6" s="67">
        <v>1500</v>
      </c>
      <c r="C6" s="155"/>
      <c r="D6" s="141"/>
      <c r="E6" s="67"/>
      <c r="F6" s="80"/>
      <c r="G6" s="80"/>
      <c r="H6" s="80"/>
      <c r="I6" s="80"/>
      <c r="J6" s="80"/>
      <c r="K6" s="80"/>
      <c r="L6" s="80"/>
      <c r="M6" s="80"/>
      <c r="N6" s="80"/>
      <c r="O6" s="85"/>
      <c r="P6" s="86"/>
      <c r="Q6" s="80"/>
      <c r="R6" s="80"/>
      <c r="S6" s="81"/>
      <c r="T6" s="81"/>
      <c r="U6" s="81"/>
      <c r="V6" s="81"/>
    </row>
    <row r="7" spans="1:22" x14ac:dyDescent="0.2">
      <c r="A7" s="82" t="s">
        <v>19</v>
      </c>
      <c r="B7" s="67">
        <v>490</v>
      </c>
      <c r="C7" s="155"/>
      <c r="D7" s="141"/>
      <c r="E7" s="67"/>
      <c r="F7" s="80"/>
      <c r="G7" s="80"/>
      <c r="H7" s="80"/>
      <c r="I7" s="80"/>
      <c r="J7" s="80"/>
      <c r="K7" s="80"/>
      <c r="L7" s="80"/>
      <c r="M7" s="80"/>
      <c r="N7" s="80"/>
      <c r="O7" s="85"/>
      <c r="P7" s="86"/>
      <c r="Q7" s="80"/>
      <c r="R7" s="80"/>
      <c r="S7" s="81"/>
      <c r="T7" s="81"/>
      <c r="U7" s="81"/>
      <c r="V7" s="81"/>
    </row>
    <row r="8" spans="1:22" x14ac:dyDescent="0.2">
      <c r="A8" s="82" t="s">
        <v>14</v>
      </c>
      <c r="B8" s="67">
        <v>200</v>
      </c>
      <c r="C8" s="155"/>
      <c r="D8" s="141"/>
      <c r="E8" s="67"/>
      <c r="F8" s="80"/>
      <c r="G8" s="80"/>
      <c r="H8" s="80"/>
      <c r="I8" s="80"/>
      <c r="J8" s="80"/>
      <c r="K8" s="80"/>
      <c r="L8" s="80"/>
      <c r="M8" s="80"/>
      <c r="N8" s="80"/>
      <c r="O8" s="85"/>
      <c r="P8" s="86"/>
      <c r="Q8" s="80"/>
      <c r="R8" s="80"/>
      <c r="S8" s="81"/>
      <c r="T8" s="81"/>
      <c r="U8" s="81"/>
      <c r="V8" s="81"/>
    </row>
    <row r="9" spans="1:22" x14ac:dyDescent="0.2">
      <c r="A9" s="82" t="s">
        <v>15</v>
      </c>
      <c r="B9" s="67"/>
      <c r="C9" s="155"/>
      <c r="D9" s="141"/>
      <c r="E9" s="67"/>
      <c r="F9" s="80"/>
      <c r="G9" s="80"/>
      <c r="H9" s="80"/>
      <c r="I9" s="80"/>
      <c r="J9" s="80"/>
      <c r="K9" s="80"/>
      <c r="L9" s="80"/>
      <c r="M9" s="80"/>
      <c r="N9" s="80"/>
      <c r="O9" s="85"/>
      <c r="P9" s="86"/>
      <c r="Q9" s="80"/>
      <c r="R9" s="80"/>
      <c r="S9" s="81"/>
      <c r="T9" s="81"/>
      <c r="U9" s="81"/>
      <c r="V9" s="81"/>
    </row>
    <row r="10" spans="1:22" x14ac:dyDescent="0.2">
      <c r="A10" s="82" t="s">
        <v>8</v>
      </c>
      <c r="B10" s="67">
        <v>350</v>
      </c>
      <c r="C10" s="155"/>
      <c r="D10" s="141"/>
      <c r="E10" s="67"/>
      <c r="F10" s="87" t="s">
        <v>28</v>
      </c>
      <c r="G10" s="87"/>
      <c r="H10" s="80"/>
      <c r="I10" s="80"/>
      <c r="J10" s="80"/>
      <c r="K10" s="80"/>
      <c r="L10" s="80"/>
      <c r="M10" s="80"/>
      <c r="N10" s="80"/>
      <c r="O10" s="85"/>
      <c r="P10" s="86"/>
      <c r="Q10" s="80"/>
      <c r="R10" s="80"/>
      <c r="S10" s="81"/>
      <c r="T10" s="81"/>
      <c r="U10" s="81"/>
      <c r="V10" s="81"/>
    </row>
    <row r="11" spans="1:22" x14ac:dyDescent="0.2">
      <c r="A11" s="82" t="s">
        <v>11</v>
      </c>
      <c r="B11" s="67">
        <v>300</v>
      </c>
      <c r="C11" s="155"/>
      <c r="D11" s="141"/>
      <c r="E11" s="67"/>
      <c r="F11" s="80"/>
      <c r="G11" s="80"/>
      <c r="H11" s="80"/>
      <c r="I11" s="80"/>
      <c r="J11" s="80"/>
      <c r="K11" s="80"/>
      <c r="L11" s="80"/>
      <c r="M11" s="80"/>
      <c r="N11" s="80"/>
      <c r="O11" s="85"/>
      <c r="P11" s="86"/>
      <c r="Q11" s="80"/>
      <c r="R11" s="80"/>
      <c r="S11" s="81"/>
      <c r="T11" s="81"/>
      <c r="U11" s="81"/>
      <c r="V11" s="81"/>
    </row>
    <row r="12" spans="1:22" x14ac:dyDescent="0.2">
      <c r="A12" s="82" t="s">
        <v>10</v>
      </c>
      <c r="B12" s="67">
        <v>200</v>
      </c>
      <c r="C12" s="155"/>
      <c r="D12" s="141"/>
      <c r="E12" s="67"/>
      <c r="F12" s="80"/>
      <c r="G12" s="80"/>
      <c r="H12" s="80"/>
      <c r="I12" s="80"/>
      <c r="J12" s="80"/>
      <c r="K12" s="80"/>
      <c r="L12" s="80"/>
      <c r="M12" s="80"/>
      <c r="N12" s="80"/>
      <c r="O12" s="85"/>
      <c r="P12" s="86"/>
      <c r="Q12" s="80"/>
      <c r="R12" s="80"/>
      <c r="S12" s="81"/>
      <c r="T12" s="81"/>
      <c r="U12" s="81"/>
      <c r="V12" s="81"/>
    </row>
    <row r="13" spans="1:22" x14ac:dyDescent="0.2">
      <c r="A13" s="82" t="s">
        <v>18</v>
      </c>
      <c r="B13" s="67">
        <v>2548</v>
      </c>
      <c r="C13" s="155"/>
      <c r="D13" s="141"/>
      <c r="E13" s="67"/>
      <c r="F13" s="80"/>
      <c r="G13" s="80"/>
      <c r="H13" s="80"/>
      <c r="I13" s="80"/>
      <c r="J13" s="80"/>
      <c r="K13" s="80"/>
      <c r="L13" s="80"/>
      <c r="M13" s="80"/>
      <c r="N13" s="80"/>
      <c r="O13" s="85"/>
      <c r="P13" s="86"/>
      <c r="Q13" s="80"/>
      <c r="R13" s="80"/>
      <c r="S13" s="81"/>
      <c r="T13" s="81"/>
      <c r="U13" s="81"/>
      <c r="V13" s="81"/>
    </row>
    <row r="14" spans="1:22" ht="15.75" thickBot="1" x14ac:dyDescent="0.25">
      <c r="A14" s="88"/>
      <c r="B14" s="124"/>
      <c r="C14" s="156"/>
      <c r="D14" s="142"/>
      <c r="E14" s="124"/>
      <c r="F14" s="80"/>
      <c r="G14" s="80"/>
      <c r="H14" s="80"/>
      <c r="I14" s="80"/>
      <c r="J14" s="80"/>
      <c r="K14" s="80"/>
      <c r="L14" s="80"/>
      <c r="M14" s="80"/>
      <c r="N14" s="80"/>
      <c r="O14" s="85"/>
      <c r="P14" s="86">
        <f>SUM(P3:P13)</f>
        <v>0</v>
      </c>
      <c r="Q14" s="80"/>
      <c r="R14" s="80"/>
      <c r="S14" s="81"/>
      <c r="T14" s="81"/>
      <c r="U14" s="81"/>
      <c r="V14" s="81"/>
    </row>
    <row r="15" spans="1:22" x14ac:dyDescent="0.2">
      <c r="A15" s="8"/>
      <c r="B15" s="14">
        <f>SUM(B2:B14)</f>
        <v>8684</v>
      </c>
      <c r="C15" s="8"/>
      <c r="D15" s="143"/>
      <c r="E15" s="14">
        <f>SUM(E2:E14)</f>
        <v>0</v>
      </c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1"/>
      <c r="T15" s="81"/>
      <c r="U15" s="81"/>
      <c r="V15" s="81"/>
    </row>
    <row r="16" spans="1:22" x14ac:dyDescent="0.2">
      <c r="A16" s="8"/>
      <c r="B16" s="8"/>
      <c r="C16" s="8"/>
      <c r="D16" s="143"/>
      <c r="E16" s="8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1"/>
      <c r="T16" s="81"/>
      <c r="U16" s="81"/>
      <c r="V16" s="81"/>
    </row>
    <row r="17" spans="1:22" x14ac:dyDescent="0.2">
      <c r="A17" s="8"/>
      <c r="B17" s="14">
        <f>B15+H42</f>
        <v>8684</v>
      </c>
      <c r="C17" s="8"/>
      <c r="D17" s="143"/>
      <c r="E17" s="8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1"/>
      <c r="T17" s="81"/>
      <c r="U17" s="81"/>
      <c r="V17" s="81"/>
    </row>
    <row r="18" spans="1:22" x14ac:dyDescent="0.2">
      <c r="A18" s="8"/>
      <c r="B18" s="8"/>
      <c r="C18" s="8"/>
      <c r="D18" s="143"/>
      <c r="E18" s="8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1"/>
      <c r="T18" s="81"/>
      <c r="U18" s="81"/>
      <c r="V18" s="81"/>
    </row>
    <row r="19" spans="1:22" x14ac:dyDescent="0.2">
      <c r="A19" s="8"/>
      <c r="B19" s="8"/>
      <c r="C19" s="8"/>
      <c r="D19" s="143"/>
      <c r="E19" s="8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1"/>
      <c r="T19" s="81"/>
      <c r="U19" s="81"/>
      <c r="V19" s="81"/>
    </row>
    <row r="20" spans="1:22" x14ac:dyDescent="0.2">
      <c r="A20" s="8"/>
      <c r="B20" s="8"/>
      <c r="C20" s="8"/>
      <c r="D20" s="143"/>
      <c r="E20" s="8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1"/>
      <c r="T20" s="81"/>
      <c r="U20" s="81"/>
      <c r="V20" s="81"/>
    </row>
    <row r="21" spans="1:22" x14ac:dyDescent="0.2">
      <c r="A21" s="8"/>
      <c r="B21" s="8"/>
      <c r="C21" s="8"/>
      <c r="D21" s="143"/>
      <c r="E21" s="8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  <c r="T21" s="81"/>
      <c r="U21" s="81"/>
      <c r="V21" s="81"/>
    </row>
    <row r="22" spans="1:22" ht="15.75" thickBot="1" x14ac:dyDescent="0.25">
      <c r="A22" s="8"/>
      <c r="B22" s="8"/>
      <c r="C22" s="8"/>
      <c r="D22" s="143"/>
      <c r="E22" s="8"/>
      <c r="F22" s="80"/>
      <c r="G22" s="80"/>
      <c r="H22" s="80"/>
      <c r="I22" s="80"/>
      <c r="J22" s="80"/>
      <c r="K22" s="80"/>
      <c r="L22" s="80"/>
      <c r="M22" s="89"/>
      <c r="N22" s="80"/>
      <c r="O22" s="80"/>
      <c r="P22" s="80"/>
      <c r="Q22" s="80"/>
      <c r="R22" s="80"/>
      <c r="S22" s="81"/>
      <c r="T22" s="81"/>
      <c r="U22" s="81"/>
      <c r="V22" s="81"/>
    </row>
    <row r="23" spans="1:22" x14ac:dyDescent="0.2">
      <c r="A23" s="699" t="s">
        <v>30</v>
      </c>
      <c r="B23" s="700"/>
      <c r="C23" s="700"/>
      <c r="D23" s="700"/>
      <c r="E23" s="701"/>
      <c r="F23" s="80"/>
      <c r="G23" s="694" t="s">
        <v>20</v>
      </c>
      <c r="H23" s="695"/>
      <c r="I23" s="695"/>
      <c r="J23" s="695"/>
      <c r="K23" s="696"/>
      <c r="L23" s="90" t="s">
        <v>21</v>
      </c>
      <c r="M23" s="91"/>
      <c r="N23" s="697" t="s">
        <v>22</v>
      </c>
      <c r="O23" s="698"/>
      <c r="P23" s="698"/>
      <c r="Q23" s="698"/>
      <c r="R23" s="698"/>
      <c r="S23" s="92" t="s">
        <v>21</v>
      </c>
      <c r="T23" s="81"/>
      <c r="U23" s="81"/>
      <c r="V23" s="81"/>
    </row>
    <row r="24" spans="1:22" x14ac:dyDescent="0.2">
      <c r="A24" s="126" t="s">
        <v>24</v>
      </c>
      <c r="B24" s="125" t="s">
        <v>1</v>
      </c>
      <c r="C24" s="125" t="s">
        <v>2</v>
      </c>
      <c r="D24" s="144" t="s">
        <v>25</v>
      </c>
      <c r="E24" s="127"/>
      <c r="F24" s="80"/>
      <c r="G24" s="93" t="s">
        <v>24</v>
      </c>
      <c r="H24" s="94" t="s">
        <v>1</v>
      </c>
      <c r="I24" s="94" t="s">
        <v>2</v>
      </c>
      <c r="J24" s="94" t="s">
        <v>25</v>
      </c>
      <c r="K24" s="94" t="s">
        <v>3</v>
      </c>
      <c r="L24" s="95"/>
      <c r="M24" s="91"/>
      <c r="N24" s="93" t="s">
        <v>24</v>
      </c>
      <c r="O24" s="94" t="s">
        <v>1</v>
      </c>
      <c r="P24" s="94" t="s">
        <v>2</v>
      </c>
      <c r="Q24" s="94" t="s">
        <v>25</v>
      </c>
      <c r="R24" s="94" t="s">
        <v>6</v>
      </c>
      <c r="S24" s="96"/>
      <c r="T24" s="81"/>
      <c r="U24" s="81"/>
      <c r="V24" s="81"/>
    </row>
    <row r="25" spans="1:22" x14ac:dyDescent="0.2">
      <c r="A25" s="157"/>
      <c r="B25" s="158"/>
      <c r="C25" s="159"/>
      <c r="D25" s="160"/>
      <c r="E25" s="146"/>
      <c r="F25" s="441"/>
      <c r="G25" s="102"/>
      <c r="H25" s="103"/>
      <c r="I25" s="104"/>
      <c r="J25" s="105"/>
      <c r="K25" s="105"/>
      <c r="L25" s="101"/>
      <c r="M25" s="443"/>
      <c r="N25" s="102"/>
      <c r="O25" s="103"/>
      <c r="P25" s="104"/>
      <c r="Q25" s="105"/>
      <c r="R25" s="105"/>
      <c r="S25" s="96"/>
      <c r="T25" s="81"/>
      <c r="U25" s="81"/>
      <c r="V25" s="81"/>
    </row>
    <row r="26" spans="1:22" x14ac:dyDescent="0.2">
      <c r="A26" s="157"/>
      <c r="B26" s="158"/>
      <c r="C26" s="159"/>
      <c r="D26" s="160"/>
      <c r="E26" s="146"/>
      <c r="F26" s="441"/>
      <c r="G26" s="102"/>
      <c r="H26" s="103"/>
      <c r="I26" s="104"/>
      <c r="J26" s="105"/>
      <c r="K26" s="105"/>
      <c r="L26" s="101"/>
      <c r="M26" s="443"/>
      <c r="N26" s="102"/>
      <c r="O26" s="103"/>
      <c r="P26" s="104"/>
      <c r="Q26" s="105"/>
      <c r="R26" s="105"/>
      <c r="S26" s="96"/>
      <c r="T26" s="81"/>
      <c r="U26" s="81"/>
      <c r="V26" s="81"/>
    </row>
    <row r="27" spans="1:22" x14ac:dyDescent="0.2">
      <c r="A27" s="196"/>
      <c r="B27" s="562"/>
      <c r="C27" s="563"/>
      <c r="D27" s="197"/>
      <c r="E27" s="198"/>
      <c r="F27" s="441"/>
      <c r="G27" s="102"/>
      <c r="H27" s="103"/>
      <c r="I27" s="104"/>
      <c r="J27" s="105"/>
      <c r="K27" s="105"/>
      <c r="L27" s="101"/>
      <c r="M27" s="443"/>
      <c r="N27" s="102"/>
      <c r="O27" s="103"/>
      <c r="P27" s="104"/>
      <c r="Q27" s="105"/>
      <c r="R27" s="105"/>
      <c r="S27" s="96"/>
      <c r="T27" s="81"/>
      <c r="U27" s="81"/>
      <c r="V27" s="81"/>
    </row>
    <row r="28" spans="1:22" x14ac:dyDescent="0.2">
      <c r="A28" s="196"/>
      <c r="B28" s="562"/>
      <c r="C28" s="563"/>
      <c r="D28" s="197"/>
      <c r="E28" s="198"/>
      <c r="F28" s="441"/>
      <c r="G28" s="102"/>
      <c r="H28" s="103"/>
      <c r="I28" s="104"/>
      <c r="J28" s="105"/>
      <c r="K28" s="105"/>
      <c r="L28" s="101"/>
      <c r="M28" s="443"/>
      <c r="N28" s="102"/>
      <c r="O28" s="103"/>
      <c r="P28" s="104"/>
      <c r="Q28" s="105"/>
      <c r="R28" s="105"/>
      <c r="S28" s="96"/>
      <c r="T28" s="81"/>
      <c r="U28" s="81"/>
      <c r="V28" s="81"/>
    </row>
    <row r="29" spans="1:22" x14ac:dyDescent="0.2">
      <c r="A29" s="196"/>
      <c r="B29" s="562"/>
      <c r="C29" s="563"/>
      <c r="D29" s="197"/>
      <c r="E29" s="198"/>
      <c r="F29" s="441"/>
      <c r="G29" s="102"/>
      <c r="H29" s="103"/>
      <c r="I29" s="104"/>
      <c r="J29" s="105"/>
      <c r="K29" s="105"/>
      <c r="L29" s="101"/>
      <c r="M29" s="443"/>
      <c r="N29" s="102"/>
      <c r="O29" s="103"/>
      <c r="P29" s="104"/>
      <c r="Q29" s="105"/>
      <c r="R29" s="105"/>
      <c r="S29" s="108"/>
      <c r="T29" s="109">
        <f>SUM(O25:O27)</f>
        <v>0</v>
      </c>
      <c r="U29" s="81"/>
      <c r="V29" s="81"/>
    </row>
    <row r="30" spans="1:22" ht="16.5" customHeight="1" x14ac:dyDescent="0.2">
      <c r="A30" s="196"/>
      <c r="B30" s="158"/>
      <c r="C30" s="159"/>
      <c r="D30" s="160"/>
      <c r="E30" s="146"/>
      <c r="F30" s="441"/>
      <c r="G30" s="196"/>
      <c r="H30" s="562"/>
      <c r="I30" s="563"/>
      <c r="J30" s="197"/>
      <c r="K30" s="105"/>
      <c r="L30" s="101"/>
      <c r="M30" s="443"/>
      <c r="N30" s="196"/>
      <c r="O30" s="158"/>
      <c r="P30" s="159"/>
      <c r="Q30" s="160"/>
      <c r="R30" s="105"/>
      <c r="S30" s="96"/>
      <c r="T30" s="109"/>
      <c r="U30" s="81"/>
      <c r="V30" s="81"/>
    </row>
    <row r="31" spans="1:22" x14ac:dyDescent="0.2">
      <c r="A31" s="196"/>
      <c r="B31" s="158"/>
      <c r="C31" s="159"/>
      <c r="D31" s="160"/>
      <c r="E31" s="146"/>
      <c r="F31" s="443"/>
      <c r="G31" s="196"/>
      <c r="H31" s="562"/>
      <c r="I31" s="563"/>
      <c r="J31" s="197"/>
      <c r="K31" s="105"/>
      <c r="L31" s="101"/>
      <c r="M31" s="443"/>
      <c r="N31" s="196"/>
      <c r="O31" s="158"/>
      <c r="P31" s="159"/>
      <c r="Q31" s="160"/>
      <c r="R31" s="105"/>
      <c r="S31" s="96"/>
      <c r="T31" s="81"/>
      <c r="U31" s="81"/>
      <c r="V31" s="81"/>
    </row>
    <row r="32" spans="1:22" x14ac:dyDescent="0.2">
      <c r="A32" s="196"/>
      <c r="B32" s="158"/>
      <c r="C32" s="159"/>
      <c r="D32" s="160"/>
      <c r="E32" s="146"/>
      <c r="F32" s="443"/>
      <c r="G32" s="196"/>
      <c r="H32" s="158"/>
      <c r="I32" s="159"/>
      <c r="J32" s="160"/>
      <c r="K32" s="105"/>
      <c r="L32" s="101"/>
      <c r="M32" s="443"/>
      <c r="N32" s="196"/>
      <c r="O32" s="158"/>
      <c r="P32" s="159"/>
      <c r="Q32" s="160"/>
      <c r="R32" s="105"/>
      <c r="S32" s="96"/>
      <c r="T32" s="81"/>
      <c r="U32" s="81"/>
      <c r="V32" s="81"/>
    </row>
    <row r="33" spans="1:22" x14ac:dyDescent="0.2">
      <c r="A33" s="196"/>
      <c r="B33" s="158"/>
      <c r="C33" s="159"/>
      <c r="D33" s="160"/>
      <c r="E33" s="146"/>
      <c r="F33" s="443"/>
      <c r="G33" s="196"/>
      <c r="H33" s="158"/>
      <c r="I33" s="159"/>
      <c r="J33" s="160"/>
      <c r="K33" s="105"/>
      <c r="L33" s="101"/>
      <c r="M33" s="443"/>
      <c r="N33" s="196"/>
      <c r="O33" s="158"/>
      <c r="P33" s="159"/>
      <c r="Q33" s="105"/>
      <c r="R33" s="105"/>
      <c r="S33" s="96"/>
      <c r="T33" s="81"/>
      <c r="U33" s="81"/>
      <c r="V33" s="81"/>
    </row>
    <row r="34" spans="1:22" x14ac:dyDescent="0.2">
      <c r="A34" s="196"/>
      <c r="B34" s="158"/>
      <c r="C34" s="159"/>
      <c r="D34" s="160"/>
      <c r="E34" s="146"/>
      <c r="F34" s="443"/>
      <c r="G34" s="196"/>
      <c r="H34" s="158"/>
      <c r="I34" s="159"/>
      <c r="J34" s="105"/>
      <c r="K34" s="105"/>
      <c r="L34" s="101"/>
      <c r="M34" s="443"/>
      <c r="N34" s="196"/>
      <c r="O34" s="158"/>
      <c r="P34" s="159"/>
      <c r="Q34" s="160"/>
      <c r="R34" s="105"/>
      <c r="S34" s="96"/>
      <c r="T34" s="81"/>
      <c r="U34" s="111"/>
      <c r="V34" s="81"/>
    </row>
    <row r="35" spans="1:22" x14ac:dyDescent="0.2">
      <c r="A35" s="196"/>
      <c r="B35" s="158"/>
      <c r="C35" s="159"/>
      <c r="D35" s="160"/>
      <c r="E35" s="146"/>
      <c r="F35" s="443"/>
      <c r="G35" s="196"/>
      <c r="H35" s="158"/>
      <c r="I35" s="159"/>
      <c r="J35" s="105"/>
      <c r="K35" s="105"/>
      <c r="L35" s="101"/>
      <c r="M35" s="443"/>
      <c r="N35" s="102"/>
      <c r="O35" s="103"/>
      <c r="P35" s="104"/>
      <c r="Q35" s="105"/>
      <c r="R35" s="105"/>
      <c r="S35" s="96"/>
      <c r="T35" s="81"/>
      <c r="U35" s="81"/>
      <c r="V35" s="81"/>
    </row>
    <row r="36" spans="1:22" x14ac:dyDescent="0.2">
      <c r="A36" s="196"/>
      <c r="B36" s="158"/>
      <c r="C36" s="159"/>
      <c r="D36" s="160"/>
      <c r="E36" s="146"/>
      <c r="F36" s="441"/>
      <c r="G36" s="196"/>
      <c r="H36" s="158"/>
      <c r="I36" s="159"/>
      <c r="J36" s="105"/>
      <c r="K36" s="105"/>
      <c r="L36" s="101"/>
      <c r="M36" s="443"/>
      <c r="N36" s="102"/>
      <c r="O36" s="103"/>
      <c r="P36" s="105"/>
      <c r="Q36" s="105"/>
      <c r="R36" s="105"/>
      <c r="S36" s="96"/>
      <c r="T36" s="81"/>
      <c r="U36" s="81"/>
      <c r="V36" s="81"/>
    </row>
    <row r="37" spans="1:22" x14ac:dyDescent="0.2">
      <c r="A37" s="196"/>
      <c r="B37" s="158"/>
      <c r="C37" s="159"/>
      <c r="D37" s="160"/>
      <c r="E37" s="146"/>
      <c r="F37" s="441"/>
      <c r="G37" s="196"/>
      <c r="H37" s="158"/>
      <c r="I37" s="159"/>
      <c r="J37" s="105"/>
      <c r="K37" s="105"/>
      <c r="L37" s="101"/>
      <c r="M37" s="443"/>
      <c r="N37" s="102"/>
      <c r="O37" s="103"/>
      <c r="P37" s="105"/>
      <c r="Q37" s="105"/>
      <c r="R37" s="105"/>
      <c r="S37" s="96"/>
      <c r="T37" s="81"/>
      <c r="U37" s="81"/>
      <c r="V37" s="81"/>
    </row>
    <row r="38" spans="1:22" x14ac:dyDescent="0.2">
      <c r="A38" s="196"/>
      <c r="B38" s="67"/>
      <c r="C38" s="159"/>
      <c r="D38" s="141"/>
      <c r="E38" s="146"/>
      <c r="F38" s="441"/>
      <c r="G38" s="196"/>
      <c r="H38" s="158"/>
      <c r="I38" s="159"/>
      <c r="J38" s="105"/>
      <c r="K38" s="105"/>
      <c r="L38" s="101"/>
      <c r="M38" s="443"/>
      <c r="N38" s="102"/>
      <c r="O38" s="103"/>
      <c r="P38" s="105"/>
      <c r="Q38" s="105"/>
      <c r="R38" s="105"/>
      <c r="S38" s="96"/>
      <c r="T38" s="81"/>
      <c r="U38" s="81"/>
      <c r="V38" s="81"/>
    </row>
    <row r="39" spans="1:22" x14ac:dyDescent="0.2">
      <c r="A39" s="464"/>
      <c r="B39" s="564"/>
      <c r="C39" s="466"/>
      <c r="D39" s="565"/>
      <c r="E39" s="146"/>
      <c r="F39" s="441"/>
      <c r="G39" s="196"/>
      <c r="H39" s="67"/>
      <c r="I39" s="159"/>
      <c r="J39" s="105"/>
      <c r="K39" s="105"/>
      <c r="L39" s="101"/>
      <c r="M39" s="443"/>
      <c r="N39" s="102"/>
      <c r="O39" s="103"/>
      <c r="P39" s="105"/>
      <c r="Q39" s="105"/>
      <c r="R39" s="105"/>
      <c r="S39" s="96"/>
      <c r="T39" s="81"/>
      <c r="U39" s="81"/>
      <c r="V39" s="81"/>
    </row>
    <row r="40" spans="1:22" x14ac:dyDescent="0.2">
      <c r="A40" s="468"/>
      <c r="B40" s="67"/>
      <c r="C40" s="159"/>
      <c r="D40" s="141"/>
      <c r="E40" s="469"/>
      <c r="F40" s="441"/>
      <c r="G40" s="464"/>
      <c r="H40" s="564"/>
      <c r="I40" s="466"/>
      <c r="J40" s="105"/>
      <c r="K40" s="105"/>
      <c r="L40" s="101"/>
      <c r="M40" s="443"/>
      <c r="N40" s="102"/>
      <c r="O40" s="103"/>
      <c r="P40" s="105"/>
      <c r="Q40" s="105"/>
      <c r="R40" s="105"/>
      <c r="S40" s="96"/>
      <c r="T40" s="81"/>
      <c r="U40" s="81"/>
      <c r="V40" s="81"/>
    </row>
    <row r="41" spans="1:22" ht="15.75" thickBot="1" x14ac:dyDescent="0.25">
      <c r="A41" s="179"/>
      <c r="B41" s="171"/>
      <c r="C41" s="168"/>
      <c r="D41" s="169"/>
      <c r="E41" s="170"/>
      <c r="F41" s="80"/>
      <c r="G41" s="177"/>
      <c r="H41" s="86"/>
      <c r="I41" s="161"/>
      <c r="J41" s="175"/>
      <c r="K41" s="175"/>
      <c r="L41" s="176"/>
      <c r="M41" s="91"/>
      <c r="N41" s="114"/>
      <c r="O41" s="112"/>
      <c r="P41" s="113"/>
      <c r="Q41" s="113"/>
      <c r="R41" s="113"/>
      <c r="S41" s="96"/>
      <c r="T41" s="81"/>
      <c r="U41" s="81"/>
      <c r="V41" s="81"/>
    </row>
    <row r="42" spans="1:22" ht="15.75" thickBot="1" x14ac:dyDescent="0.25">
      <c r="A42" s="81"/>
      <c r="B42" s="81"/>
      <c r="C42" s="81"/>
      <c r="D42" s="81"/>
      <c r="E42" s="81"/>
      <c r="F42" s="80"/>
      <c r="G42" s="88"/>
      <c r="H42" s="171"/>
      <c r="I42" s="173"/>
      <c r="J42" s="172"/>
      <c r="K42" s="172"/>
      <c r="L42" s="172"/>
      <c r="M42" s="91"/>
      <c r="N42" s="121"/>
      <c r="O42" s="118"/>
      <c r="P42" s="119"/>
      <c r="Q42" s="119"/>
      <c r="R42" s="119"/>
      <c r="S42" s="122"/>
      <c r="T42" s="81"/>
      <c r="U42" s="81"/>
      <c r="V42" s="81"/>
    </row>
    <row r="43" spans="1:22" x14ac:dyDescent="0.2">
      <c r="A43" s="81"/>
      <c r="B43" s="81"/>
      <c r="C43" s="81"/>
      <c r="D43" s="81"/>
      <c r="E43" s="81"/>
      <c r="F43" s="81"/>
      <c r="G43" s="81"/>
      <c r="H43" s="109">
        <f>SUM(H25:H42)</f>
        <v>0</v>
      </c>
      <c r="I43" s="81"/>
      <c r="J43" s="81"/>
      <c r="K43" s="81"/>
      <c r="L43" s="81"/>
      <c r="M43" s="174"/>
      <c r="N43" s="81"/>
      <c r="O43" s="123">
        <f>SUM(O25:O42)</f>
        <v>0</v>
      </c>
      <c r="P43" s="81"/>
      <c r="Q43" s="81"/>
      <c r="R43" s="81"/>
      <c r="S43" s="81"/>
      <c r="T43" s="123">
        <f>O43-T30</f>
        <v>0</v>
      </c>
      <c r="U43" s="81"/>
      <c r="V43" s="81"/>
    </row>
    <row r="44" spans="1:22" x14ac:dyDescent="0.2">
      <c r="A44" s="81"/>
      <c r="B44" s="109">
        <f>SUM(B25:B43)</f>
        <v>0</v>
      </c>
      <c r="C44" s="81"/>
      <c r="D44" s="81"/>
      <c r="E44" s="81"/>
      <c r="F44" s="81"/>
      <c r="H44" s="44"/>
      <c r="M44" s="81"/>
      <c r="N44" s="81"/>
      <c r="O44" s="81"/>
      <c r="P44" s="81"/>
      <c r="Q44" s="81"/>
      <c r="R44" s="81"/>
      <c r="S44" s="81"/>
      <c r="T44" s="111"/>
      <c r="U44" s="81"/>
      <c r="V44" s="81"/>
    </row>
    <row r="47" spans="1:22" ht="15.75" thickBot="1" x14ac:dyDescent="0.25"/>
    <row r="48" spans="1:22" ht="15.75" thickBot="1" x14ac:dyDescent="0.25">
      <c r="G48" s="184" t="s">
        <v>27</v>
      </c>
      <c r="H48" s="185">
        <f>H43+O43</f>
        <v>0</v>
      </c>
      <c r="N48" t="s">
        <v>32</v>
      </c>
      <c r="O48" s="186">
        <f>O43-E10-E12</f>
        <v>0</v>
      </c>
    </row>
    <row r="50" spans="1:4" x14ac:dyDescent="0.2">
      <c r="A50" t="s">
        <v>33</v>
      </c>
      <c r="C50" t="s">
        <v>13</v>
      </c>
      <c r="D50">
        <v>150</v>
      </c>
    </row>
    <row r="51" spans="1:4" x14ac:dyDescent="0.2">
      <c r="B51">
        <v>105</v>
      </c>
      <c r="C51" t="s">
        <v>15</v>
      </c>
    </row>
    <row r="52" spans="1:4" x14ac:dyDescent="0.2">
      <c r="B52">
        <v>200</v>
      </c>
      <c r="C52" t="s">
        <v>34</v>
      </c>
    </row>
    <row r="53" spans="1:4" x14ac:dyDescent="0.2">
      <c r="B53">
        <v>300</v>
      </c>
    </row>
    <row r="55" spans="1:4" x14ac:dyDescent="0.2">
      <c r="B55">
        <f>SUM(B50:B54)</f>
        <v>605</v>
      </c>
    </row>
  </sheetData>
  <sortState xmlns:xlrd2="http://schemas.microsoft.com/office/spreadsheetml/2017/richdata2" ref="A2:E14">
    <sortCondition ref="A2:A14"/>
  </sortState>
  <mergeCells count="4">
    <mergeCell ref="O2:P2"/>
    <mergeCell ref="A23:E23"/>
    <mergeCell ref="G23:K23"/>
    <mergeCell ref="N23:R23"/>
  </mergeCells>
  <dataValidations count="1">
    <dataValidation type="date" allowBlank="1" showInputMessage="1" showErrorMessage="1" sqref="C2:C13" xr:uid="{3B7157B3-B90E-4489-9D64-0AA77457E98F}">
      <formula1>45748</formula1>
      <formula2>45777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018F-AFB5-4EE4-AC0F-0F484D215C56}">
  <dimension ref="A1:V49"/>
  <sheetViews>
    <sheetView topLeftCell="A7" zoomScale="99" zoomScaleNormal="150" zoomScaleSheetLayoutView="100" workbookViewId="0">
      <selection activeCell="E20" sqref="E20"/>
    </sheetView>
  </sheetViews>
  <sheetFormatPr defaultColWidth="8.875" defaultRowHeight="15" x14ac:dyDescent="0.2"/>
  <cols>
    <col min="1" max="1" width="14.125" bestFit="1" customWidth="1"/>
    <col min="2" max="2" width="11.296875" bestFit="1" customWidth="1"/>
    <col min="3" max="3" width="9.81640625" bestFit="1" customWidth="1"/>
    <col min="4" max="4" width="8.47265625" bestFit="1" customWidth="1"/>
    <col min="5" max="5" width="10.625" bestFit="1" customWidth="1"/>
    <col min="6" max="6" width="28.515625" customWidth="1"/>
    <col min="7" max="7" width="15.46875" customWidth="1"/>
    <col min="8" max="8" width="11.56640625" bestFit="1" customWidth="1"/>
    <col min="9" max="9" width="9.55078125" bestFit="1" customWidth="1"/>
    <col min="10" max="11" width="8.47265625" bestFit="1" customWidth="1"/>
    <col min="12" max="12" width="11.02734375" bestFit="1" customWidth="1"/>
    <col min="13" max="13" width="8.47265625" bestFit="1" customWidth="1"/>
    <col min="14" max="14" width="14.125" bestFit="1" customWidth="1"/>
    <col min="15" max="15" width="11.296875" bestFit="1" customWidth="1"/>
    <col min="16" max="16" width="9.55078125" bestFit="1" customWidth="1"/>
    <col min="17" max="18" width="8.47265625" bestFit="1" customWidth="1"/>
    <col min="19" max="19" width="19.37109375" customWidth="1"/>
    <col min="20" max="20" width="10.0859375" bestFit="1" customWidth="1"/>
    <col min="21" max="21" width="9.4140625" bestFit="1" customWidth="1"/>
  </cols>
  <sheetData>
    <row r="1" spans="1:22" x14ac:dyDescent="0.2">
      <c r="A1" s="76" t="s">
        <v>0</v>
      </c>
      <c r="B1" s="77" t="s">
        <v>1</v>
      </c>
      <c r="C1" s="78" t="s">
        <v>2</v>
      </c>
      <c r="D1" s="140" t="s">
        <v>3</v>
      </c>
      <c r="E1" s="79" t="s">
        <v>4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1"/>
      <c r="T1" s="81"/>
      <c r="U1" s="81"/>
      <c r="V1" s="81"/>
    </row>
    <row r="2" spans="1:22" x14ac:dyDescent="0.2">
      <c r="A2" s="82" t="s">
        <v>5</v>
      </c>
      <c r="B2" s="67">
        <v>56</v>
      </c>
      <c r="C2" s="155"/>
      <c r="D2" s="141"/>
      <c r="E2" s="67"/>
      <c r="F2" s="80"/>
      <c r="G2" s="80"/>
      <c r="H2" s="80"/>
      <c r="I2" s="80"/>
      <c r="J2" s="80"/>
      <c r="K2" s="80"/>
      <c r="L2" s="80"/>
      <c r="M2" s="80"/>
      <c r="N2" s="80"/>
      <c r="O2" s="692" t="s">
        <v>7</v>
      </c>
      <c r="P2" s="693"/>
      <c r="Q2" s="80"/>
      <c r="R2" s="80"/>
      <c r="S2" s="81"/>
      <c r="T2" s="81"/>
      <c r="U2" s="81"/>
      <c r="V2" s="81"/>
    </row>
    <row r="3" spans="1:22" x14ac:dyDescent="0.2">
      <c r="A3" s="82" t="s">
        <v>8</v>
      </c>
      <c r="B3" s="67">
        <v>350</v>
      </c>
      <c r="C3" s="155"/>
      <c r="D3" s="141"/>
      <c r="E3" s="67"/>
      <c r="F3" s="80"/>
      <c r="G3" s="80"/>
      <c r="H3" s="80"/>
      <c r="I3" s="80"/>
      <c r="J3" s="80"/>
      <c r="K3" s="80"/>
      <c r="L3" s="80"/>
      <c r="M3" s="80"/>
      <c r="N3" s="80"/>
      <c r="O3" s="83"/>
      <c r="P3" s="84"/>
      <c r="Q3" s="80"/>
      <c r="R3" s="80"/>
      <c r="S3" s="81"/>
      <c r="T3" s="81"/>
      <c r="U3" s="81"/>
      <c r="V3" s="81"/>
    </row>
    <row r="4" spans="1:22" x14ac:dyDescent="0.2">
      <c r="A4" s="82" t="s">
        <v>9</v>
      </c>
      <c r="B4" s="67">
        <v>1060</v>
      </c>
      <c r="C4" s="155"/>
      <c r="D4" s="141"/>
      <c r="E4" s="67">
        <v>1060</v>
      </c>
      <c r="F4" s="80"/>
      <c r="G4" s="80"/>
      <c r="H4" s="80"/>
      <c r="I4" s="80"/>
      <c r="J4" s="80"/>
      <c r="K4" s="80"/>
      <c r="L4" s="80"/>
      <c r="M4" s="80"/>
      <c r="N4" s="80"/>
      <c r="O4" s="85"/>
      <c r="P4" s="86"/>
      <c r="Q4" s="80"/>
      <c r="R4" s="80"/>
      <c r="S4" s="81"/>
      <c r="T4" s="81"/>
      <c r="U4" s="81"/>
      <c r="V4" s="81"/>
    </row>
    <row r="5" spans="1:22" x14ac:dyDescent="0.2">
      <c r="A5" s="82" t="s">
        <v>10</v>
      </c>
      <c r="B5" s="67">
        <v>230</v>
      </c>
      <c r="C5" s="155"/>
      <c r="D5" s="141"/>
      <c r="E5" s="67"/>
      <c r="F5" s="80"/>
      <c r="G5" s="80"/>
      <c r="H5" s="80"/>
      <c r="I5" s="80"/>
      <c r="J5" s="80"/>
      <c r="K5" s="80"/>
      <c r="L5" s="80"/>
      <c r="M5" s="80"/>
      <c r="N5" s="80"/>
      <c r="O5" s="85"/>
      <c r="P5" s="86"/>
      <c r="Q5" s="80"/>
      <c r="R5" s="80"/>
      <c r="S5" s="81"/>
      <c r="T5" s="81"/>
      <c r="U5" s="81"/>
      <c r="V5" s="81"/>
    </row>
    <row r="6" spans="1:22" x14ac:dyDescent="0.2">
      <c r="A6" s="82" t="s">
        <v>11</v>
      </c>
      <c r="B6" s="67">
        <v>300</v>
      </c>
      <c r="C6" s="155"/>
      <c r="D6" s="141"/>
      <c r="E6" s="67"/>
      <c r="F6" s="80"/>
      <c r="G6" s="80"/>
      <c r="H6" s="80"/>
      <c r="I6" s="80"/>
      <c r="J6" s="80"/>
      <c r="K6" s="80"/>
      <c r="L6" s="80"/>
      <c r="M6" s="80"/>
      <c r="N6" s="80"/>
      <c r="O6" s="85"/>
      <c r="P6" s="86"/>
      <c r="Q6" s="80"/>
      <c r="R6" s="80"/>
      <c r="S6" s="81"/>
      <c r="T6" s="81"/>
      <c r="U6" s="81"/>
      <c r="V6" s="81"/>
    </row>
    <row r="7" spans="1:22" x14ac:dyDescent="0.2">
      <c r="A7" s="82" t="s">
        <v>12</v>
      </c>
      <c r="B7" s="67">
        <v>780</v>
      </c>
      <c r="C7" s="155"/>
      <c r="D7" s="141"/>
      <c r="E7" s="67"/>
      <c r="F7" s="80"/>
      <c r="G7" s="80"/>
      <c r="H7" s="80"/>
      <c r="I7" s="80"/>
      <c r="J7" s="80"/>
      <c r="K7" s="80"/>
      <c r="L7" s="80"/>
      <c r="M7" s="80"/>
      <c r="N7" s="80"/>
      <c r="O7" s="85"/>
      <c r="P7" s="86"/>
      <c r="Q7" s="80"/>
      <c r="R7" s="80"/>
      <c r="S7" s="81"/>
      <c r="T7" s="81"/>
      <c r="U7" s="81"/>
      <c r="V7" s="81"/>
    </row>
    <row r="8" spans="1:22" x14ac:dyDescent="0.2">
      <c r="A8" s="82" t="s">
        <v>14</v>
      </c>
      <c r="B8" s="67">
        <v>200</v>
      </c>
      <c r="C8" s="155"/>
      <c r="D8" s="141"/>
      <c r="E8" s="67"/>
      <c r="F8" s="80"/>
      <c r="G8" s="80"/>
      <c r="H8" s="80"/>
      <c r="I8" s="80"/>
      <c r="J8" s="80"/>
      <c r="K8" s="80"/>
      <c r="L8" s="80"/>
      <c r="M8" s="80"/>
      <c r="N8" s="80"/>
      <c r="O8" s="85"/>
      <c r="P8" s="86"/>
      <c r="Q8" s="80"/>
      <c r="R8" s="80"/>
      <c r="S8" s="81"/>
      <c r="T8" s="81"/>
      <c r="U8" s="81"/>
      <c r="V8" s="81"/>
    </row>
    <row r="9" spans="1:22" x14ac:dyDescent="0.2">
      <c r="A9" s="82" t="s">
        <v>15</v>
      </c>
      <c r="B9" s="67"/>
      <c r="C9" s="155"/>
      <c r="D9" s="141"/>
      <c r="E9" s="67"/>
      <c r="F9" s="80"/>
      <c r="G9" s="80"/>
      <c r="H9" s="80"/>
      <c r="I9" s="80"/>
      <c r="J9" s="80"/>
      <c r="K9" s="80"/>
      <c r="L9" s="80"/>
      <c r="M9" s="80"/>
      <c r="N9" s="80"/>
      <c r="O9" s="85"/>
      <c r="P9" s="86"/>
      <c r="Q9" s="80"/>
      <c r="R9" s="80"/>
      <c r="S9" s="81"/>
      <c r="T9" s="81"/>
      <c r="U9" s="81"/>
      <c r="V9" s="81"/>
    </row>
    <row r="10" spans="1:22" x14ac:dyDescent="0.2">
      <c r="A10" s="82" t="s">
        <v>17</v>
      </c>
      <c r="B10" s="67">
        <v>1500</v>
      </c>
      <c r="C10" s="155"/>
      <c r="D10" s="141"/>
      <c r="E10" s="67"/>
      <c r="F10" s="87" t="s">
        <v>28</v>
      </c>
      <c r="G10" s="87"/>
      <c r="H10" s="80"/>
      <c r="I10" s="80"/>
      <c r="J10" s="80"/>
      <c r="K10" s="80"/>
      <c r="L10" s="80"/>
      <c r="M10" s="80"/>
      <c r="N10" s="80"/>
      <c r="O10" s="85"/>
      <c r="P10" s="86"/>
      <c r="Q10" s="80"/>
      <c r="R10" s="80"/>
      <c r="S10" s="81"/>
      <c r="T10" s="81"/>
      <c r="U10" s="81"/>
      <c r="V10" s="81"/>
    </row>
    <row r="11" spans="1:22" x14ac:dyDescent="0.2">
      <c r="A11" s="82" t="s">
        <v>18</v>
      </c>
      <c r="B11" s="67">
        <v>1506</v>
      </c>
      <c r="C11" s="155"/>
      <c r="D11" s="141"/>
      <c r="E11" s="67"/>
      <c r="F11" s="80"/>
      <c r="G11" s="80"/>
      <c r="H11" s="80"/>
      <c r="I11" s="80"/>
      <c r="J11" s="80"/>
      <c r="K11" s="80"/>
      <c r="L11" s="80"/>
      <c r="M11" s="80"/>
      <c r="N11" s="80"/>
      <c r="O11" s="85"/>
      <c r="P11" s="86"/>
      <c r="Q11" s="80"/>
      <c r="R11" s="80"/>
      <c r="S11" s="81"/>
      <c r="T11" s="81"/>
      <c r="U11" s="81"/>
      <c r="V11" s="81"/>
    </row>
    <row r="12" spans="1:22" x14ac:dyDescent="0.2">
      <c r="A12" s="82" t="s">
        <v>19</v>
      </c>
      <c r="B12" s="67">
        <v>244</v>
      </c>
      <c r="C12" s="155"/>
      <c r="D12" s="141"/>
      <c r="E12" s="67"/>
      <c r="F12" s="80"/>
      <c r="G12" s="80"/>
      <c r="H12" s="80"/>
      <c r="I12" s="80"/>
      <c r="J12" s="80"/>
      <c r="K12" s="80"/>
      <c r="L12" s="80"/>
      <c r="M12" s="80"/>
      <c r="N12" s="80"/>
      <c r="O12" s="85"/>
      <c r="P12" s="86"/>
      <c r="Q12" s="80"/>
      <c r="R12" s="80"/>
      <c r="S12" s="81"/>
      <c r="T12" s="81"/>
      <c r="U12" s="81"/>
      <c r="V12" s="81"/>
    </row>
    <row r="13" spans="1:22" x14ac:dyDescent="0.2">
      <c r="A13" t="s">
        <v>35</v>
      </c>
      <c r="B13" s="67">
        <v>1000</v>
      </c>
      <c r="C13" s="155"/>
      <c r="D13" s="141"/>
      <c r="E13" s="67"/>
      <c r="F13" s="80"/>
      <c r="G13" s="80"/>
      <c r="H13" s="80"/>
      <c r="I13" s="80"/>
      <c r="J13" s="80"/>
      <c r="K13" s="80"/>
      <c r="L13" s="80"/>
      <c r="M13" s="80"/>
      <c r="N13" s="80"/>
      <c r="O13" s="85"/>
      <c r="P13" s="86"/>
      <c r="Q13" s="80"/>
      <c r="R13" s="80"/>
      <c r="S13" s="81"/>
      <c r="T13" s="81"/>
      <c r="U13" s="81"/>
      <c r="V13" s="81"/>
    </row>
    <row r="14" spans="1:22" x14ac:dyDescent="0.2">
      <c r="A14" s="88" t="s">
        <v>36</v>
      </c>
      <c r="B14" s="124">
        <v>280</v>
      </c>
      <c r="C14" s="156"/>
      <c r="D14" s="142"/>
      <c r="E14" s="124"/>
      <c r="F14" s="80"/>
      <c r="G14" s="80"/>
      <c r="H14" s="80"/>
      <c r="I14" s="80"/>
      <c r="J14" s="80"/>
      <c r="K14" s="80"/>
      <c r="L14" s="80"/>
      <c r="M14" s="80"/>
      <c r="N14" s="80"/>
      <c r="O14" s="85"/>
      <c r="P14" s="86">
        <f>SUM(P3:P13)</f>
        <v>0</v>
      </c>
      <c r="Q14" s="80"/>
      <c r="R14" s="80"/>
      <c r="S14" s="81"/>
      <c r="T14" s="81"/>
      <c r="U14" s="81"/>
      <c r="V14" s="81"/>
    </row>
    <row r="15" spans="1:22" x14ac:dyDescent="0.2">
      <c r="A15" s="8"/>
      <c r="B15" s="14">
        <f>SUM(B2:B14)</f>
        <v>7506</v>
      </c>
      <c r="C15" s="8"/>
      <c r="D15" s="143"/>
      <c r="E15" s="14">
        <f>SUM(E2:E14)</f>
        <v>1060</v>
      </c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1"/>
      <c r="T15" s="81"/>
      <c r="U15" s="81"/>
      <c r="V15" s="81"/>
    </row>
    <row r="16" spans="1:22" x14ac:dyDescent="0.2">
      <c r="A16" s="8"/>
      <c r="B16" s="8"/>
      <c r="C16" s="8"/>
      <c r="D16" s="143"/>
      <c r="E16" s="8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1"/>
      <c r="T16" s="81"/>
      <c r="U16" s="81"/>
      <c r="V16" s="81"/>
    </row>
    <row r="17" spans="1:22" x14ac:dyDescent="0.2">
      <c r="A17" s="8"/>
      <c r="B17" s="14">
        <f>B15+H43</f>
        <v>7506</v>
      </c>
      <c r="C17" s="8"/>
      <c r="D17" s="143"/>
      <c r="E17" s="8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1"/>
      <c r="T17" s="81"/>
      <c r="U17" s="81"/>
      <c r="V17" s="81"/>
    </row>
    <row r="18" spans="1:22" x14ac:dyDescent="0.2">
      <c r="A18" s="8"/>
      <c r="B18" s="8"/>
      <c r="C18" s="8"/>
      <c r="D18" s="143"/>
      <c r="E18" s="8"/>
      <c r="F18" s="115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1"/>
      <c r="T18" s="81"/>
      <c r="U18" s="81"/>
      <c r="V18" s="81"/>
    </row>
    <row r="19" spans="1:22" x14ac:dyDescent="0.2">
      <c r="A19" s="8"/>
      <c r="B19" s="8"/>
      <c r="C19" s="8"/>
      <c r="D19" s="143"/>
      <c r="E19" s="8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1"/>
      <c r="T19" s="81"/>
      <c r="U19" s="81"/>
      <c r="V19" s="81"/>
    </row>
    <row r="20" spans="1:22" x14ac:dyDescent="0.2">
      <c r="A20" s="8"/>
      <c r="B20" s="8"/>
      <c r="C20" s="8"/>
      <c r="D20" s="143"/>
      <c r="E20" s="8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1"/>
      <c r="T20" s="81"/>
      <c r="U20" s="81"/>
      <c r="V20" s="81"/>
    </row>
    <row r="21" spans="1:22" x14ac:dyDescent="0.2">
      <c r="A21" s="8"/>
      <c r="B21" s="8"/>
      <c r="C21" s="8"/>
      <c r="D21" s="143"/>
      <c r="E21" s="8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  <c r="T21" s="81"/>
      <c r="U21" s="81"/>
      <c r="V21" s="81"/>
    </row>
    <row r="22" spans="1:22" x14ac:dyDescent="0.2">
      <c r="A22" s="8"/>
      <c r="B22" s="8"/>
      <c r="C22" s="8"/>
      <c r="D22" s="143"/>
      <c r="E22" s="8"/>
      <c r="F22" s="80"/>
      <c r="G22" s="80"/>
      <c r="H22" s="80"/>
      <c r="I22" s="80"/>
      <c r="J22" s="80"/>
      <c r="K22" s="80"/>
      <c r="L22" s="80"/>
      <c r="M22" s="89"/>
      <c r="N22" s="80"/>
      <c r="O22" s="80"/>
      <c r="P22" s="80"/>
      <c r="Q22" s="80"/>
      <c r="R22" s="80"/>
      <c r="S22" s="81"/>
      <c r="T22" s="81"/>
      <c r="U22" s="81"/>
      <c r="V22" s="81"/>
    </row>
    <row r="23" spans="1:22" x14ac:dyDescent="0.2">
      <c r="A23" s="699" t="s">
        <v>30</v>
      </c>
      <c r="B23" s="700"/>
      <c r="C23" s="700"/>
      <c r="D23" s="700"/>
      <c r="E23" s="701"/>
      <c r="F23" s="80"/>
      <c r="G23" s="694" t="s">
        <v>20</v>
      </c>
      <c r="H23" s="695"/>
      <c r="I23" s="695"/>
      <c r="J23" s="695"/>
      <c r="K23" s="696"/>
      <c r="L23" s="90" t="s">
        <v>21</v>
      </c>
      <c r="M23" s="91"/>
      <c r="N23" s="697" t="s">
        <v>22</v>
      </c>
      <c r="O23" s="698"/>
      <c r="P23" s="698"/>
      <c r="Q23" s="698"/>
      <c r="R23" s="698"/>
      <c r="S23" s="92" t="s">
        <v>21</v>
      </c>
      <c r="T23" s="81"/>
      <c r="U23" s="81"/>
      <c r="V23" s="81"/>
    </row>
    <row r="24" spans="1:22" x14ac:dyDescent="0.2">
      <c r="A24" s="126" t="s">
        <v>24</v>
      </c>
      <c r="B24" s="125" t="s">
        <v>1</v>
      </c>
      <c r="C24" s="125" t="s">
        <v>2</v>
      </c>
      <c r="D24" s="144" t="s">
        <v>25</v>
      </c>
      <c r="E24" s="127"/>
      <c r="F24" s="80"/>
      <c r="G24" s="93" t="s">
        <v>24</v>
      </c>
      <c r="H24" s="94" t="s">
        <v>1</v>
      </c>
      <c r="I24" s="94" t="s">
        <v>2</v>
      </c>
      <c r="J24" s="94" t="s">
        <v>25</v>
      </c>
      <c r="K24" s="94" t="s">
        <v>3</v>
      </c>
      <c r="L24" s="95"/>
      <c r="M24" s="91"/>
      <c r="N24" s="93" t="s">
        <v>24</v>
      </c>
      <c r="O24" s="94" t="s">
        <v>1</v>
      </c>
      <c r="P24" s="94" t="s">
        <v>2</v>
      </c>
      <c r="Q24" s="94" t="s">
        <v>25</v>
      </c>
      <c r="R24" s="94" t="s">
        <v>6</v>
      </c>
      <c r="S24" s="96"/>
      <c r="T24" s="81"/>
      <c r="U24" s="81"/>
      <c r="V24" s="81"/>
    </row>
    <row r="25" spans="1:22" x14ac:dyDescent="0.2">
      <c r="A25" s="157"/>
      <c r="B25" s="158"/>
      <c r="C25" s="159"/>
      <c r="D25" s="160"/>
      <c r="E25" s="146"/>
      <c r="F25" s="80"/>
      <c r="G25" s="97"/>
      <c r="H25" s="98"/>
      <c r="I25" s="99"/>
      <c r="J25" s="100"/>
      <c r="K25" s="100"/>
      <c r="L25" s="101"/>
      <c r="M25" s="91"/>
      <c r="N25" s="97"/>
      <c r="O25" s="98"/>
      <c r="P25" s="99"/>
      <c r="Q25" s="100"/>
      <c r="R25" s="100"/>
      <c r="S25" s="96"/>
      <c r="T25" s="81"/>
      <c r="U25" s="81"/>
      <c r="V25" s="81"/>
    </row>
    <row r="26" spans="1:22" x14ac:dyDescent="0.2">
      <c r="A26" s="157"/>
      <c r="B26" s="158"/>
      <c r="C26" s="159"/>
      <c r="D26" s="160"/>
      <c r="E26" s="146"/>
      <c r="F26" s="80"/>
      <c r="G26" s="102"/>
      <c r="H26" s="103"/>
      <c r="I26" s="104"/>
      <c r="J26" s="105"/>
      <c r="K26" s="105"/>
      <c r="L26" s="101"/>
      <c r="M26" s="91"/>
      <c r="N26" s="97"/>
      <c r="O26" s="98"/>
      <c r="P26" s="99"/>
      <c r="Q26" s="100"/>
      <c r="R26" s="100"/>
      <c r="S26" s="96"/>
      <c r="T26" s="81"/>
      <c r="U26" s="81"/>
      <c r="V26" s="81"/>
    </row>
    <row r="27" spans="1:22" x14ac:dyDescent="0.2">
      <c r="A27" s="196"/>
      <c r="B27" s="562"/>
      <c r="C27" s="563"/>
      <c r="D27" s="197"/>
      <c r="E27" s="198"/>
      <c r="F27" s="80"/>
      <c r="G27" s="102"/>
      <c r="H27" s="103"/>
      <c r="I27" s="104"/>
      <c r="J27" s="105"/>
      <c r="K27" s="105"/>
      <c r="L27" s="101"/>
      <c r="M27" s="91"/>
      <c r="N27" s="97"/>
      <c r="O27" s="98"/>
      <c r="P27" s="99"/>
      <c r="Q27" s="100"/>
      <c r="R27" s="100"/>
      <c r="S27" s="96"/>
      <c r="T27" s="81"/>
      <c r="U27" s="81"/>
      <c r="V27" s="81"/>
    </row>
    <row r="28" spans="1:22" x14ac:dyDescent="0.2">
      <c r="A28" s="196"/>
      <c r="B28" s="562"/>
      <c r="C28" s="563"/>
      <c r="D28" s="197"/>
      <c r="E28" s="198"/>
      <c r="F28" s="80"/>
      <c r="G28" s="102"/>
      <c r="H28" s="103"/>
      <c r="I28" s="104"/>
      <c r="J28" s="105"/>
      <c r="K28" s="105"/>
      <c r="L28" s="101"/>
      <c r="M28" s="91"/>
      <c r="N28" s="102"/>
      <c r="O28" s="103"/>
      <c r="P28" s="104"/>
      <c r="Q28" s="105"/>
      <c r="R28" s="105"/>
      <c r="S28" s="96"/>
      <c r="T28" s="81"/>
      <c r="U28" s="81"/>
      <c r="V28" s="81"/>
    </row>
    <row r="29" spans="1:22" x14ac:dyDescent="0.2">
      <c r="A29" s="196"/>
      <c r="B29" s="562"/>
      <c r="C29" s="563"/>
      <c r="D29" s="197"/>
      <c r="E29" s="198"/>
      <c r="F29" s="80"/>
      <c r="G29" s="102"/>
      <c r="H29" s="103"/>
      <c r="I29" s="104"/>
      <c r="J29" s="105"/>
      <c r="K29" s="105"/>
      <c r="L29" s="101"/>
      <c r="M29" s="91"/>
      <c r="N29" s="102"/>
      <c r="O29" s="103"/>
      <c r="P29" s="104"/>
      <c r="Q29" s="105"/>
      <c r="R29" s="105"/>
      <c r="S29" s="108"/>
      <c r="T29" s="109">
        <f>SUM(O25:O27)</f>
        <v>0</v>
      </c>
      <c r="U29" s="81"/>
      <c r="V29" s="81"/>
    </row>
    <row r="30" spans="1:22" ht="16.5" customHeight="1" x14ac:dyDescent="0.2">
      <c r="A30" s="196"/>
      <c r="B30" s="158"/>
      <c r="C30" s="159"/>
      <c r="D30" s="160"/>
      <c r="E30" s="146"/>
      <c r="F30" s="80"/>
      <c r="G30" s="102"/>
      <c r="H30" s="103"/>
      <c r="I30" s="104"/>
      <c r="J30" s="105"/>
      <c r="K30" s="105"/>
      <c r="L30" s="101"/>
      <c r="M30" s="91"/>
      <c r="N30" s="128"/>
      <c r="O30" s="149"/>
      <c r="P30" s="107"/>
      <c r="Q30" s="105"/>
      <c r="R30" s="105"/>
      <c r="S30" s="96"/>
      <c r="T30" s="109"/>
      <c r="U30" s="81"/>
      <c r="V30" s="81"/>
    </row>
    <row r="31" spans="1:22" x14ac:dyDescent="0.2">
      <c r="A31" s="196"/>
      <c r="B31" s="158"/>
      <c r="C31" s="159"/>
      <c r="D31" s="160"/>
      <c r="E31" s="146"/>
      <c r="F31" s="91"/>
      <c r="G31" s="128"/>
      <c r="H31" s="150"/>
      <c r="I31" s="139"/>
      <c r="J31" s="105"/>
      <c r="K31" s="105"/>
      <c r="L31" s="101"/>
      <c r="M31" s="91"/>
      <c r="N31" s="102"/>
      <c r="O31" s="103"/>
      <c r="P31" s="104"/>
      <c r="Q31" s="105"/>
      <c r="R31" s="105"/>
      <c r="S31" s="96"/>
      <c r="T31" s="81"/>
      <c r="U31" s="81"/>
      <c r="V31" s="81"/>
    </row>
    <row r="32" spans="1:22" x14ac:dyDescent="0.2">
      <c r="A32" s="196"/>
      <c r="B32" s="158"/>
      <c r="C32" s="159"/>
      <c r="D32" s="160"/>
      <c r="E32" s="146"/>
      <c r="F32" s="110"/>
      <c r="G32" s="128"/>
      <c r="H32" s="149"/>
      <c r="I32" s="107"/>
      <c r="J32" s="105"/>
      <c r="K32" s="105"/>
      <c r="L32" s="101"/>
      <c r="M32" s="91"/>
      <c r="N32" s="102"/>
      <c r="O32" s="103"/>
      <c r="P32" s="104"/>
      <c r="Q32" s="105"/>
      <c r="R32" s="105"/>
      <c r="S32" s="96"/>
      <c r="T32" s="81"/>
      <c r="U32" s="81"/>
      <c r="V32" s="81"/>
    </row>
    <row r="33" spans="1:22" x14ac:dyDescent="0.2">
      <c r="A33" s="196"/>
      <c r="B33" s="158"/>
      <c r="C33" s="159"/>
      <c r="D33" s="160"/>
      <c r="E33" s="146"/>
      <c r="F33" s="91"/>
      <c r="G33" s="128"/>
      <c r="H33" s="149"/>
      <c r="I33" s="107"/>
      <c r="J33" s="105"/>
      <c r="K33" s="105"/>
      <c r="L33" s="101"/>
      <c r="M33" s="91"/>
      <c r="N33" s="102"/>
      <c r="O33" s="103"/>
      <c r="P33" s="104"/>
      <c r="Q33" s="105"/>
      <c r="R33" s="105"/>
      <c r="S33" s="96"/>
      <c r="T33" s="81"/>
      <c r="U33" s="81"/>
      <c r="V33" s="81"/>
    </row>
    <row r="34" spans="1:22" x14ac:dyDescent="0.2">
      <c r="A34" s="196"/>
      <c r="B34" s="158"/>
      <c r="C34" s="159"/>
      <c r="D34" s="160"/>
      <c r="E34" s="146"/>
      <c r="F34" s="91"/>
      <c r="G34" s="128"/>
      <c r="H34" s="149"/>
      <c r="I34" s="107"/>
      <c r="J34" s="105"/>
      <c r="K34" s="105"/>
      <c r="L34" s="101"/>
      <c r="M34" s="91"/>
      <c r="N34" s="102"/>
      <c r="O34" s="103"/>
      <c r="P34" s="104"/>
      <c r="Q34" s="105"/>
      <c r="R34" s="105"/>
      <c r="S34" s="96"/>
      <c r="T34" s="81"/>
      <c r="U34" s="111"/>
      <c r="V34" s="81"/>
    </row>
    <row r="35" spans="1:22" x14ac:dyDescent="0.2">
      <c r="A35" s="196"/>
      <c r="B35" s="158"/>
      <c r="C35" s="159"/>
      <c r="D35" s="160"/>
      <c r="E35" s="146"/>
      <c r="F35" s="91"/>
      <c r="G35" s="128"/>
      <c r="H35" s="149"/>
      <c r="I35" s="107"/>
      <c r="J35" s="105"/>
      <c r="K35" s="105"/>
      <c r="L35" s="101"/>
      <c r="M35" s="91"/>
      <c r="N35" s="102"/>
      <c r="O35" s="103"/>
      <c r="P35" s="104"/>
      <c r="Q35" s="105"/>
      <c r="R35" s="105"/>
      <c r="S35" s="96"/>
      <c r="T35" s="81"/>
      <c r="U35" s="81"/>
      <c r="V35" s="81"/>
    </row>
    <row r="36" spans="1:22" x14ac:dyDescent="0.2">
      <c r="A36" s="196"/>
      <c r="B36" s="158"/>
      <c r="C36" s="159"/>
      <c r="D36" s="160"/>
      <c r="E36" s="146"/>
      <c r="F36" s="80"/>
      <c r="G36" s="128"/>
      <c r="H36" s="149"/>
      <c r="I36" s="107"/>
      <c r="J36" s="113"/>
      <c r="K36" s="113"/>
      <c r="L36" s="101"/>
      <c r="M36" s="91"/>
      <c r="N36" s="102"/>
      <c r="O36" s="103"/>
      <c r="P36" s="105"/>
      <c r="Q36" s="105"/>
      <c r="R36" s="105"/>
      <c r="S36" s="96"/>
      <c r="T36" s="81"/>
      <c r="U36" s="81"/>
      <c r="V36" s="81"/>
    </row>
    <row r="37" spans="1:22" x14ac:dyDescent="0.2">
      <c r="A37" s="196"/>
      <c r="B37" s="158"/>
      <c r="C37" s="159"/>
      <c r="D37" s="160"/>
      <c r="E37" s="146"/>
      <c r="F37" s="80"/>
      <c r="G37" s="128"/>
      <c r="H37" s="149"/>
      <c r="I37" s="107"/>
      <c r="J37" s="113"/>
      <c r="K37" s="113"/>
      <c r="L37" s="101"/>
      <c r="M37" s="91"/>
      <c r="N37" s="102"/>
      <c r="O37" s="103"/>
      <c r="P37" s="105"/>
      <c r="Q37" s="105"/>
      <c r="R37" s="105"/>
      <c r="S37" s="96"/>
      <c r="T37" s="81"/>
      <c r="U37" s="81"/>
      <c r="V37" s="81"/>
    </row>
    <row r="38" spans="1:22" x14ac:dyDescent="0.2">
      <c r="A38" s="196"/>
      <c r="B38" s="67"/>
      <c r="C38" s="159"/>
      <c r="D38" s="141"/>
      <c r="E38" s="146"/>
      <c r="F38" s="80"/>
      <c r="G38" s="128"/>
      <c r="H38" s="149"/>
      <c r="I38" s="107"/>
      <c r="J38" s="113"/>
      <c r="K38" s="113"/>
      <c r="L38" s="101"/>
      <c r="M38" s="91"/>
      <c r="N38" s="102"/>
      <c r="O38" s="103"/>
      <c r="P38" s="105"/>
      <c r="Q38" s="105"/>
      <c r="R38" s="105"/>
      <c r="S38" s="96"/>
      <c r="T38" s="81"/>
      <c r="U38" s="81"/>
      <c r="V38" s="81"/>
    </row>
    <row r="39" spans="1:22" x14ac:dyDescent="0.2">
      <c r="A39" s="163"/>
      <c r="B39" s="164"/>
      <c r="C39" s="165"/>
      <c r="D39" s="166"/>
      <c r="E39" s="146"/>
      <c r="F39" s="80"/>
      <c r="G39" s="128"/>
      <c r="H39" s="149"/>
      <c r="I39" s="107"/>
      <c r="J39" s="113"/>
      <c r="K39" s="113"/>
      <c r="L39" s="101"/>
      <c r="M39" s="91"/>
      <c r="N39" s="114"/>
      <c r="O39" s="112"/>
      <c r="P39" s="113"/>
      <c r="Q39" s="113"/>
      <c r="R39" s="113"/>
      <c r="S39" s="96"/>
      <c r="T39" s="81"/>
      <c r="U39" s="81"/>
      <c r="V39" s="81"/>
    </row>
    <row r="40" spans="1:22" x14ac:dyDescent="0.2">
      <c r="A40" s="178"/>
      <c r="B40" s="86"/>
      <c r="C40" s="161"/>
      <c r="D40" s="162"/>
      <c r="E40" s="167"/>
      <c r="F40" s="80"/>
      <c r="G40" s="128"/>
      <c r="H40" s="106"/>
      <c r="I40" s="107"/>
      <c r="J40" s="113"/>
      <c r="K40" s="113"/>
      <c r="L40" s="101"/>
      <c r="M40" s="91"/>
      <c r="N40" s="114"/>
      <c r="O40" s="112"/>
      <c r="P40" s="113"/>
      <c r="Q40" s="113"/>
      <c r="R40" s="113"/>
      <c r="S40" s="96"/>
      <c r="T40" s="81"/>
      <c r="U40" s="81"/>
      <c r="V40" s="81"/>
    </row>
    <row r="41" spans="1:22" x14ac:dyDescent="0.2">
      <c r="A41" s="179"/>
      <c r="B41" s="171"/>
      <c r="C41" s="168"/>
      <c r="D41" s="169"/>
      <c r="E41" s="170"/>
      <c r="F41" s="80"/>
      <c r="G41" s="163"/>
      <c r="H41" s="164"/>
      <c r="I41" s="165"/>
      <c r="J41" s="113"/>
      <c r="K41" s="113"/>
      <c r="L41" s="101"/>
      <c r="M41" s="91"/>
      <c r="N41" s="114"/>
      <c r="O41" s="112"/>
      <c r="P41" s="113"/>
      <c r="Q41" s="113"/>
      <c r="R41" s="113"/>
      <c r="S41" s="96"/>
      <c r="T41" s="81"/>
      <c r="U41" s="81"/>
      <c r="V41" s="81"/>
    </row>
    <row r="42" spans="1:22" x14ac:dyDescent="0.2">
      <c r="A42" s="81"/>
      <c r="B42" s="109"/>
      <c r="C42" s="81"/>
      <c r="D42" s="81"/>
      <c r="E42" s="81"/>
      <c r="F42" s="80"/>
      <c r="G42" s="177"/>
      <c r="H42" s="86"/>
      <c r="I42" s="161"/>
      <c r="J42" s="175"/>
      <c r="K42" s="175"/>
      <c r="L42" s="176"/>
      <c r="M42" s="91"/>
      <c r="N42" s="121"/>
      <c r="O42" s="118"/>
      <c r="P42" s="119"/>
      <c r="Q42" s="119"/>
      <c r="R42" s="119"/>
      <c r="S42" s="122"/>
      <c r="T42" s="81"/>
      <c r="U42" s="81"/>
      <c r="V42" s="81"/>
    </row>
    <row r="43" spans="1:22" x14ac:dyDescent="0.2">
      <c r="A43" s="81"/>
      <c r="B43" s="81"/>
      <c r="C43" s="81"/>
      <c r="D43" s="81"/>
      <c r="E43" s="81"/>
      <c r="F43" s="81"/>
      <c r="G43" s="88"/>
      <c r="H43" s="171"/>
      <c r="I43" s="173"/>
      <c r="J43" s="172"/>
      <c r="K43" s="172"/>
      <c r="L43" s="172"/>
      <c r="M43" s="174"/>
      <c r="N43" s="81"/>
      <c r="O43" s="123">
        <f>SUM(O25:O42)</f>
        <v>0</v>
      </c>
      <c r="P43" s="81"/>
      <c r="Q43" s="81"/>
      <c r="R43" s="81"/>
      <c r="S43" s="81"/>
      <c r="T43" s="123">
        <f>O43-T30</f>
        <v>0</v>
      </c>
      <c r="U43" s="81"/>
      <c r="V43" s="81"/>
    </row>
    <row r="44" spans="1:22" x14ac:dyDescent="0.2">
      <c r="A44" s="81"/>
      <c r="B44" s="109">
        <f>SUM(B25:B43)</f>
        <v>0</v>
      </c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111"/>
      <c r="U44" s="81"/>
      <c r="V44" s="81"/>
    </row>
    <row r="45" spans="1:22" x14ac:dyDescent="0.2">
      <c r="H45" s="44">
        <f>SUM(H25:H44)</f>
        <v>0</v>
      </c>
    </row>
    <row r="49" spans="7:8" x14ac:dyDescent="0.2">
      <c r="G49" s="40" t="s">
        <v>27</v>
      </c>
      <c r="H49" s="41">
        <f>SUM(H43+O43)</f>
        <v>0</v>
      </c>
    </row>
  </sheetData>
  <mergeCells count="4">
    <mergeCell ref="O2:P2"/>
    <mergeCell ref="A23:E23"/>
    <mergeCell ref="G23:K23"/>
    <mergeCell ref="N23:R23"/>
  </mergeCells>
  <dataValidations count="1">
    <dataValidation type="date" allowBlank="1" showInputMessage="1" showErrorMessage="1" sqref="C2:C14" xr:uid="{C0538E53-F0B6-4EF4-9910-6DE9617C7EB7}">
      <formula1>45778</formula1>
      <formula2>45807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100D-01E5-A142-BB80-DB48CE16CE52}">
  <dimension ref="A1:V50"/>
  <sheetViews>
    <sheetView zoomScaleNormal="150" zoomScaleSheetLayoutView="100" workbookViewId="0">
      <selection activeCell="F23" sqref="F23"/>
    </sheetView>
  </sheetViews>
  <sheetFormatPr defaultColWidth="8.875" defaultRowHeight="15" x14ac:dyDescent="0.2"/>
  <cols>
    <col min="1" max="1" width="14.125" bestFit="1" customWidth="1"/>
    <col min="2" max="2" width="19.1015625" customWidth="1"/>
    <col min="3" max="3" width="19.7734375" style="152" customWidth="1"/>
    <col min="4" max="4" width="8.47265625" bestFit="1" customWidth="1"/>
    <col min="5" max="5" width="11.703125" bestFit="1" customWidth="1"/>
    <col min="6" max="6" width="28.515625" customWidth="1"/>
    <col min="7" max="7" width="15.46875" customWidth="1"/>
    <col min="8" max="8" width="11.56640625" bestFit="1" customWidth="1"/>
    <col min="9" max="9" width="11.97265625" customWidth="1"/>
    <col min="10" max="10" width="8.47265625" bestFit="1" customWidth="1"/>
    <col min="11" max="11" width="10.0859375" bestFit="1" customWidth="1"/>
    <col min="12" max="12" width="11.02734375" bestFit="1" customWidth="1"/>
    <col min="13" max="13" width="8.47265625" bestFit="1" customWidth="1"/>
    <col min="14" max="14" width="14.125" bestFit="1" customWidth="1"/>
    <col min="15" max="15" width="11.296875" bestFit="1" customWidth="1"/>
    <col min="16" max="16" width="13.1796875" customWidth="1"/>
    <col min="17" max="18" width="8.47265625" bestFit="1" customWidth="1"/>
    <col min="19" max="19" width="19.37109375" customWidth="1"/>
    <col min="20" max="20" width="10.0859375" bestFit="1" customWidth="1"/>
    <col min="21" max="21" width="9.4140625" bestFit="1" customWidth="1"/>
  </cols>
  <sheetData>
    <row r="1" spans="1:22" ht="15.75" thickBot="1" x14ac:dyDescent="0.25">
      <c r="A1" s="238" t="s">
        <v>0</v>
      </c>
      <c r="B1" s="239" t="s">
        <v>1</v>
      </c>
      <c r="C1" s="237" t="s">
        <v>2</v>
      </c>
      <c r="D1" s="243" t="s">
        <v>3</v>
      </c>
      <c r="E1" s="244" t="s">
        <v>4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1"/>
      <c r="T1" s="81"/>
      <c r="U1" s="81"/>
      <c r="V1" s="81"/>
    </row>
    <row r="2" spans="1:22" ht="15.75" thickBot="1" x14ac:dyDescent="0.25">
      <c r="A2" s="276" t="s">
        <v>35</v>
      </c>
      <c r="B2" s="554">
        <v>1000</v>
      </c>
      <c r="C2" s="311"/>
      <c r="D2" s="265">
        <v>2</v>
      </c>
      <c r="E2" s="246"/>
      <c r="F2" s="80"/>
      <c r="G2" s="80"/>
      <c r="H2" s="80"/>
      <c r="I2" s="80"/>
      <c r="J2" s="80"/>
      <c r="K2" s="80"/>
      <c r="L2" s="80"/>
      <c r="M2" s="80"/>
      <c r="N2" s="80"/>
      <c r="O2" s="692" t="s">
        <v>7</v>
      </c>
      <c r="P2" s="693"/>
      <c r="Q2" s="80"/>
      <c r="R2" s="80"/>
      <c r="S2" s="81"/>
      <c r="T2" s="81"/>
      <c r="U2" s="81"/>
      <c r="V2" s="81"/>
    </row>
    <row r="3" spans="1:22" ht="15.75" thickBot="1" x14ac:dyDescent="0.25">
      <c r="A3" s="240" t="s">
        <v>5</v>
      </c>
      <c r="B3" s="554">
        <v>56</v>
      </c>
      <c r="C3" s="311"/>
      <c r="D3" s="265">
        <v>2</v>
      </c>
      <c r="E3" s="247"/>
      <c r="F3" s="80"/>
      <c r="G3" s="80"/>
      <c r="H3" s="80"/>
      <c r="I3" s="80"/>
      <c r="J3" s="80"/>
      <c r="K3" s="80"/>
      <c r="L3" s="80"/>
      <c r="M3" s="80"/>
      <c r="N3" s="80"/>
      <c r="O3" s="83"/>
      <c r="P3" s="84"/>
      <c r="Q3" s="80"/>
      <c r="R3" s="80"/>
      <c r="S3" s="81"/>
      <c r="T3" s="81"/>
      <c r="U3" s="81"/>
      <c r="V3" s="81"/>
    </row>
    <row r="4" spans="1:22" x14ac:dyDescent="0.2">
      <c r="A4" s="240" t="s">
        <v>9</v>
      </c>
      <c r="B4" s="554">
        <v>1060</v>
      </c>
      <c r="C4" s="311"/>
      <c r="D4" s="265">
        <v>2</v>
      </c>
      <c r="E4" s="247"/>
      <c r="F4" s="80"/>
      <c r="G4" s="80"/>
      <c r="H4" s="80"/>
      <c r="I4" s="80"/>
      <c r="J4" s="80"/>
      <c r="K4" s="80"/>
      <c r="L4" s="278"/>
      <c r="M4" s="80"/>
      <c r="N4" s="80"/>
      <c r="O4" s="85"/>
      <c r="P4" s="86"/>
      <c r="Q4" s="80"/>
      <c r="R4" s="80"/>
      <c r="S4" s="81"/>
      <c r="T4" s="81"/>
      <c r="U4" s="81"/>
      <c r="V4" s="81"/>
    </row>
    <row r="5" spans="1:22" ht="15.75" thickBot="1" x14ac:dyDescent="0.25">
      <c r="A5" s="240" t="s">
        <v>12</v>
      </c>
      <c r="B5" s="554">
        <v>780</v>
      </c>
      <c r="C5" s="311"/>
      <c r="D5" s="265">
        <v>3</v>
      </c>
      <c r="E5" s="247"/>
      <c r="F5" s="80"/>
      <c r="G5" s="80"/>
      <c r="H5" s="80"/>
      <c r="I5" s="80"/>
      <c r="J5" s="80"/>
      <c r="K5" s="80"/>
      <c r="L5" s="80"/>
      <c r="M5" s="80"/>
      <c r="N5" s="80"/>
      <c r="O5" s="85"/>
      <c r="P5" s="86"/>
      <c r="Q5" s="80"/>
      <c r="R5" s="80"/>
      <c r="S5" s="81"/>
      <c r="T5" s="81"/>
      <c r="U5" s="81"/>
      <c r="V5" s="81"/>
    </row>
    <row r="6" spans="1:22" x14ac:dyDescent="0.2">
      <c r="A6" s="241" t="s">
        <v>37</v>
      </c>
      <c r="B6" s="555">
        <v>495</v>
      </c>
      <c r="C6" s="311"/>
      <c r="D6" s="265">
        <v>3</v>
      </c>
      <c r="E6" s="559"/>
      <c r="F6" s="80"/>
      <c r="G6" s="80"/>
      <c r="H6" s="80"/>
      <c r="I6" s="80"/>
      <c r="J6" s="80"/>
      <c r="K6" s="80"/>
      <c r="L6" s="80"/>
      <c r="M6" s="80"/>
      <c r="N6" s="80"/>
      <c r="O6" s="85"/>
      <c r="P6" s="86"/>
      <c r="Q6" s="80"/>
      <c r="R6" s="80"/>
      <c r="S6" s="81"/>
      <c r="T6" s="81"/>
      <c r="U6" s="81"/>
      <c r="V6" s="81"/>
    </row>
    <row r="7" spans="1:22" x14ac:dyDescent="0.2">
      <c r="A7" s="242" t="s">
        <v>17</v>
      </c>
      <c r="B7" s="556">
        <v>1500</v>
      </c>
      <c r="C7" s="311"/>
      <c r="D7" s="265">
        <v>3</v>
      </c>
      <c r="E7" s="247"/>
      <c r="F7" s="80"/>
      <c r="L7" s="80"/>
      <c r="M7" s="80"/>
      <c r="N7" s="80"/>
      <c r="O7" s="85"/>
      <c r="P7" s="86"/>
      <c r="Q7" s="80"/>
      <c r="R7" s="80"/>
      <c r="S7" s="81"/>
      <c r="T7" s="81"/>
      <c r="U7" s="81"/>
      <c r="V7" s="81"/>
    </row>
    <row r="8" spans="1:22" x14ac:dyDescent="0.2">
      <c r="A8" s="82" t="s">
        <v>38</v>
      </c>
      <c r="B8" s="557">
        <v>140</v>
      </c>
      <c r="C8" s="311"/>
      <c r="D8" s="265">
        <v>2</v>
      </c>
      <c r="E8" s="247"/>
      <c r="F8" s="80"/>
      <c r="L8" s="80"/>
      <c r="M8" s="80"/>
      <c r="N8" s="80"/>
      <c r="O8" s="85"/>
      <c r="P8" s="86"/>
      <c r="Q8" s="80"/>
      <c r="R8" s="80"/>
      <c r="S8" s="81"/>
      <c r="T8" s="81"/>
      <c r="U8" s="81"/>
      <c r="V8" s="81"/>
    </row>
    <row r="9" spans="1:22" x14ac:dyDescent="0.2">
      <c r="A9" s="82" t="s">
        <v>19</v>
      </c>
      <c r="B9" s="557">
        <v>400</v>
      </c>
      <c r="C9" s="311"/>
      <c r="D9" s="265">
        <v>3</v>
      </c>
      <c r="E9" s="247"/>
      <c r="F9" s="80"/>
      <c r="L9" s="80"/>
      <c r="M9" s="80"/>
      <c r="N9" s="80"/>
      <c r="O9" s="85"/>
      <c r="P9" s="86"/>
      <c r="Q9" s="80"/>
      <c r="R9" s="80"/>
      <c r="S9" s="81"/>
      <c r="T9" s="81"/>
      <c r="U9" s="81"/>
      <c r="V9" s="81"/>
    </row>
    <row r="10" spans="1:22" x14ac:dyDescent="0.2">
      <c r="A10" s="82" t="s">
        <v>14</v>
      </c>
      <c r="B10" s="557">
        <v>250</v>
      </c>
      <c r="C10" s="311"/>
      <c r="D10" s="265">
        <v>3</v>
      </c>
      <c r="E10" s="247"/>
      <c r="F10" s="80"/>
      <c r="L10" s="80"/>
      <c r="M10" s="80"/>
      <c r="N10" s="80"/>
      <c r="O10" s="85"/>
      <c r="P10" s="86"/>
      <c r="Q10" s="80"/>
      <c r="R10" s="80"/>
      <c r="S10" s="81"/>
      <c r="T10" s="81"/>
      <c r="U10" s="81"/>
      <c r="V10" s="81"/>
    </row>
    <row r="11" spans="1:22" x14ac:dyDescent="0.2">
      <c r="A11" s="82" t="s">
        <v>15</v>
      </c>
      <c r="B11" s="557">
        <v>110</v>
      </c>
      <c r="C11" s="311"/>
      <c r="D11" s="265">
        <v>3</v>
      </c>
      <c r="E11" s="247"/>
      <c r="F11" s="87"/>
      <c r="L11" s="80"/>
      <c r="M11" s="80"/>
      <c r="N11" s="80"/>
      <c r="O11" s="85"/>
      <c r="P11" s="86"/>
      <c r="Q11" s="80"/>
      <c r="R11" s="80"/>
      <c r="S11" s="81"/>
      <c r="T11" s="81"/>
      <c r="U11" s="81"/>
      <c r="V11" s="81"/>
    </row>
    <row r="12" spans="1:22" x14ac:dyDescent="0.2">
      <c r="A12" s="82" t="s">
        <v>8</v>
      </c>
      <c r="B12" s="557">
        <v>350</v>
      </c>
      <c r="C12" s="311"/>
      <c r="D12" s="265">
        <v>2</v>
      </c>
      <c r="E12" s="247"/>
      <c r="F12" s="80"/>
      <c r="L12" s="80"/>
      <c r="M12" s="80"/>
      <c r="N12" s="80"/>
      <c r="O12" s="85"/>
      <c r="P12" s="86"/>
      <c r="Q12" s="80"/>
      <c r="R12" s="80"/>
      <c r="S12" s="81"/>
      <c r="T12" s="81"/>
      <c r="U12" s="81"/>
      <c r="V12" s="81"/>
    </row>
    <row r="13" spans="1:22" x14ac:dyDescent="0.2">
      <c r="A13" s="82" t="s">
        <v>11</v>
      </c>
      <c r="B13" s="557">
        <v>300</v>
      </c>
      <c r="C13" s="311"/>
      <c r="D13" s="265">
        <v>3</v>
      </c>
      <c r="E13" s="247"/>
      <c r="F13" s="80"/>
      <c r="L13" s="80"/>
      <c r="M13" s="80"/>
      <c r="N13" s="80"/>
      <c r="O13" s="85"/>
      <c r="P13" s="86"/>
      <c r="Q13" s="80"/>
      <c r="R13" s="80"/>
      <c r="S13" s="81"/>
      <c r="T13" s="81"/>
      <c r="U13" s="81"/>
      <c r="V13" s="81"/>
    </row>
    <row r="14" spans="1:22" ht="15.75" thickBot="1" x14ac:dyDescent="0.25">
      <c r="A14" s="277" t="s">
        <v>39</v>
      </c>
      <c r="B14" s="558">
        <v>2800</v>
      </c>
      <c r="C14" s="311"/>
      <c r="D14" s="560">
        <v>2</v>
      </c>
      <c r="E14" s="561"/>
      <c r="F14" s="80"/>
      <c r="L14" s="80"/>
      <c r="M14" s="80"/>
      <c r="N14" s="80"/>
      <c r="O14" s="85"/>
      <c r="P14" s="86"/>
      <c r="Q14" s="80"/>
      <c r="R14" s="80"/>
      <c r="S14" s="81"/>
      <c r="T14" s="81"/>
      <c r="U14" s="81"/>
      <c r="V14" s="81"/>
    </row>
    <row r="15" spans="1:22" ht="15.75" thickBot="1" x14ac:dyDescent="0.25">
      <c r="A15" s="240" t="s">
        <v>10</v>
      </c>
      <c r="B15" s="554">
        <v>200</v>
      </c>
      <c r="C15" s="311"/>
      <c r="D15" s="265">
        <v>12</v>
      </c>
      <c r="E15" s="245"/>
      <c r="F15" s="80" t="s">
        <v>57</v>
      </c>
      <c r="L15" s="80"/>
      <c r="M15" s="80"/>
      <c r="N15" s="80"/>
      <c r="O15" s="85"/>
      <c r="P15" s="86">
        <f>SUM(P3:P14)</f>
        <v>0</v>
      </c>
      <c r="Q15" s="80"/>
      <c r="R15" s="80"/>
      <c r="S15" s="81"/>
      <c r="T15" s="81"/>
      <c r="U15" s="81"/>
      <c r="V15" s="81"/>
    </row>
    <row r="16" spans="1:22" ht="15.75" thickBot="1" x14ac:dyDescent="0.25">
      <c r="A16" s="240" t="s">
        <v>18</v>
      </c>
      <c r="B16" s="554">
        <v>2080</v>
      </c>
      <c r="C16" s="311"/>
      <c r="D16" s="265">
        <v>3</v>
      </c>
      <c r="E16" s="245"/>
      <c r="F16" s="80"/>
      <c r="G16" s="248"/>
      <c r="L16" s="80"/>
      <c r="M16" s="80"/>
      <c r="N16" s="80"/>
      <c r="O16" s="80"/>
      <c r="P16" s="80"/>
      <c r="Q16" s="80"/>
      <c r="R16" s="80"/>
      <c r="S16" s="81"/>
      <c r="T16" s="81"/>
      <c r="U16" s="81"/>
      <c r="V16" s="81"/>
    </row>
    <row r="17" spans="1:22" x14ac:dyDescent="0.2">
      <c r="A17" s="8"/>
      <c r="B17" s="8"/>
      <c r="C17" s="8"/>
      <c r="E17" s="8"/>
      <c r="F17" s="80"/>
      <c r="L17" s="80"/>
      <c r="M17" s="80"/>
      <c r="N17" s="80"/>
      <c r="O17" s="80"/>
      <c r="P17" s="80"/>
      <c r="Q17" s="80"/>
      <c r="R17" s="80"/>
      <c r="S17" s="81"/>
      <c r="T17" s="81"/>
      <c r="U17" s="81"/>
      <c r="V17" s="81"/>
    </row>
    <row r="18" spans="1:22" x14ac:dyDescent="0.2">
      <c r="A18" s="8"/>
      <c r="B18" s="14">
        <f>SUM(B2:B17)</f>
        <v>11521</v>
      </c>
      <c r="C18" s="8"/>
      <c r="D18" s="143"/>
      <c r="E18" s="14">
        <f>SUM(E2:E17)</f>
        <v>0</v>
      </c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1"/>
      <c r="T18" s="81"/>
      <c r="U18" s="81"/>
      <c r="V18" s="81"/>
    </row>
    <row r="19" spans="1:22" x14ac:dyDescent="0.2">
      <c r="A19" s="8"/>
      <c r="B19" s="8"/>
      <c r="C19" s="8"/>
      <c r="D19" s="143"/>
      <c r="E19" s="8"/>
      <c r="F19" s="115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1"/>
      <c r="T19" s="81"/>
      <c r="U19" s="81"/>
      <c r="V19" s="81"/>
    </row>
    <row r="20" spans="1:22" x14ac:dyDescent="0.2">
      <c r="A20" s="8"/>
      <c r="B20" s="8"/>
      <c r="C20" s="8"/>
      <c r="D20" s="143"/>
      <c r="E20" s="8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1"/>
      <c r="T20" s="81"/>
      <c r="U20" s="81"/>
      <c r="V20" s="81"/>
    </row>
    <row r="21" spans="1:22" x14ac:dyDescent="0.2">
      <c r="A21" s="8"/>
      <c r="B21" s="8"/>
      <c r="C21" s="8"/>
      <c r="D21" s="143"/>
      <c r="E21" s="8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  <c r="T21" s="81"/>
      <c r="U21" s="81"/>
      <c r="V21" s="81"/>
    </row>
    <row r="22" spans="1:22" x14ac:dyDescent="0.2">
      <c r="A22" s="8"/>
      <c r="B22" s="8"/>
      <c r="C22" s="8"/>
      <c r="D22" s="143"/>
      <c r="E22" s="8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1"/>
      <c r="T22" s="81"/>
      <c r="U22" s="81"/>
      <c r="V22" s="81"/>
    </row>
    <row r="23" spans="1:22" ht="15.75" thickBot="1" x14ac:dyDescent="0.25">
      <c r="A23" s="8"/>
      <c r="B23" s="8"/>
      <c r="C23" s="8"/>
      <c r="D23" s="143"/>
      <c r="E23" s="8"/>
      <c r="F23" s="80"/>
      <c r="G23" s="80"/>
      <c r="H23" s="80"/>
      <c r="I23" s="80"/>
      <c r="J23" s="80"/>
      <c r="K23" s="80"/>
      <c r="L23" s="80"/>
      <c r="M23" s="89"/>
      <c r="N23" s="80"/>
      <c r="O23" s="80"/>
      <c r="P23" s="80"/>
      <c r="Q23" s="80"/>
      <c r="R23" s="80"/>
      <c r="S23" s="81"/>
      <c r="T23" s="81"/>
      <c r="U23" s="81"/>
      <c r="V23" s="81"/>
    </row>
    <row r="24" spans="1:22" x14ac:dyDescent="0.2">
      <c r="A24" s="699" t="s">
        <v>30</v>
      </c>
      <c r="B24" s="700"/>
      <c r="C24" s="700"/>
      <c r="D24" s="700"/>
      <c r="E24" s="701"/>
      <c r="F24" s="80"/>
      <c r="G24" s="702" t="s">
        <v>20</v>
      </c>
      <c r="H24" s="703"/>
      <c r="I24" s="703"/>
      <c r="J24" s="703"/>
      <c r="K24" s="704"/>
      <c r="L24" s="220" t="s">
        <v>21</v>
      </c>
      <c r="M24" s="91"/>
      <c r="N24" s="697" t="s">
        <v>22</v>
      </c>
      <c r="O24" s="698"/>
      <c r="P24" s="698"/>
      <c r="Q24" s="698"/>
      <c r="R24" s="698"/>
      <c r="S24" s="92" t="s">
        <v>21</v>
      </c>
      <c r="T24" s="81"/>
      <c r="U24" s="81"/>
      <c r="V24" s="81"/>
    </row>
    <row r="25" spans="1:22" x14ac:dyDescent="0.2">
      <c r="A25" s="126" t="s">
        <v>24</v>
      </c>
      <c r="B25" s="125" t="s">
        <v>1</v>
      </c>
      <c r="C25" s="125" t="s">
        <v>2</v>
      </c>
      <c r="D25" s="144" t="s">
        <v>25</v>
      </c>
      <c r="E25" s="127"/>
      <c r="F25" s="80"/>
      <c r="G25" s="221" t="s">
        <v>24</v>
      </c>
      <c r="H25" s="94" t="s">
        <v>1</v>
      </c>
      <c r="I25" s="94" t="s">
        <v>2</v>
      </c>
      <c r="J25" s="94" t="s">
        <v>25</v>
      </c>
      <c r="K25" s="94" t="s">
        <v>3</v>
      </c>
      <c r="L25" s="222"/>
      <c r="M25" s="91"/>
      <c r="N25" s="93" t="s">
        <v>24</v>
      </c>
      <c r="O25" s="94" t="s">
        <v>1</v>
      </c>
      <c r="P25" s="94" t="s">
        <v>2</v>
      </c>
      <c r="Q25" s="94" t="s">
        <v>25</v>
      </c>
      <c r="R25" s="94" t="s">
        <v>6</v>
      </c>
      <c r="S25" s="96"/>
      <c r="T25" s="81"/>
      <c r="U25" s="81"/>
      <c r="V25" s="81"/>
    </row>
    <row r="26" spans="1:22" x14ac:dyDescent="0.2">
      <c r="A26" s="157"/>
      <c r="B26" s="213"/>
      <c r="C26" s="159"/>
      <c r="D26" s="203"/>
      <c r="E26" s="146"/>
      <c r="F26" s="80"/>
      <c r="G26" s="224"/>
      <c r="H26" s="236"/>
      <c r="I26" s="279"/>
      <c r="J26" s="105"/>
      <c r="K26" s="105"/>
      <c r="L26" s="223"/>
      <c r="M26" s="91"/>
      <c r="N26" s="102"/>
      <c r="O26" s="103"/>
      <c r="P26" s="279"/>
      <c r="Q26" s="105"/>
      <c r="R26" s="105"/>
      <c r="S26" s="96"/>
      <c r="T26" s="81"/>
      <c r="U26" s="81"/>
      <c r="V26" s="81"/>
    </row>
    <row r="27" spans="1:22" x14ac:dyDescent="0.2">
      <c r="A27" s="157"/>
      <c r="B27" s="213"/>
      <c r="C27" s="159"/>
      <c r="D27" s="203"/>
      <c r="E27" s="146"/>
      <c r="F27" s="80"/>
      <c r="G27" s="224"/>
      <c r="H27" s="236"/>
      <c r="I27" s="279"/>
      <c r="J27" s="105"/>
      <c r="K27" s="105"/>
      <c r="L27" s="223"/>
      <c r="M27" s="91"/>
      <c r="N27" s="102"/>
      <c r="O27" s="103"/>
      <c r="P27" s="279"/>
      <c r="Q27" s="105"/>
      <c r="R27" s="105"/>
      <c r="S27" s="96"/>
      <c r="T27" s="81"/>
      <c r="U27" s="81"/>
      <c r="V27" s="81"/>
    </row>
    <row r="28" spans="1:22" x14ac:dyDescent="0.2">
      <c r="A28" s="196"/>
      <c r="B28" s="214"/>
      <c r="C28" s="249"/>
      <c r="D28" s="197"/>
      <c r="E28" s="198"/>
      <c r="F28" s="80"/>
      <c r="G28" s="224"/>
      <c r="H28" s="236"/>
      <c r="I28" s="279"/>
      <c r="J28" s="105"/>
      <c r="K28" s="105"/>
      <c r="L28" s="223"/>
      <c r="M28" s="91"/>
      <c r="N28" s="102"/>
      <c r="O28" s="103"/>
      <c r="P28" s="279"/>
      <c r="Q28" s="105"/>
      <c r="R28" s="105"/>
      <c r="S28" s="96"/>
      <c r="T28" s="81"/>
      <c r="U28" s="81"/>
      <c r="V28" s="81"/>
    </row>
    <row r="29" spans="1:22" x14ac:dyDescent="0.2">
      <c r="A29" s="196"/>
      <c r="B29" s="214"/>
      <c r="C29" s="249"/>
      <c r="D29" s="197"/>
      <c r="E29" s="198"/>
      <c r="F29" s="80"/>
      <c r="G29" s="224"/>
      <c r="H29" s="236"/>
      <c r="I29" s="279"/>
      <c r="J29" s="105"/>
      <c r="K29" s="105"/>
      <c r="L29" s="223"/>
      <c r="M29" s="91"/>
      <c r="N29" s="102"/>
      <c r="O29" s="103"/>
      <c r="P29" s="279"/>
      <c r="Q29" s="105"/>
      <c r="R29" s="105"/>
      <c r="S29" s="96"/>
      <c r="T29" s="81"/>
      <c r="U29" s="81"/>
      <c r="V29" s="81"/>
    </row>
    <row r="30" spans="1:22" x14ac:dyDescent="0.2">
      <c r="A30" s="196"/>
      <c r="B30" s="214"/>
      <c r="C30" s="249"/>
      <c r="D30" s="197"/>
      <c r="E30" s="198"/>
      <c r="F30" s="80"/>
      <c r="G30" s="224"/>
      <c r="H30" s="236"/>
      <c r="I30" s="279"/>
      <c r="J30" s="105"/>
      <c r="K30" s="234"/>
      <c r="L30" s="225"/>
      <c r="M30" s="91"/>
      <c r="N30" s="102"/>
      <c r="O30" s="103"/>
      <c r="P30" s="279"/>
      <c r="Q30" s="105"/>
      <c r="R30" s="105"/>
      <c r="S30" s="108"/>
      <c r="T30" s="109">
        <f>SUM(O26:O28)</f>
        <v>0</v>
      </c>
      <c r="U30" s="81"/>
      <c r="V30" s="81"/>
    </row>
    <row r="31" spans="1:22" ht="16.5" customHeight="1" x14ac:dyDescent="0.2">
      <c r="A31" s="196"/>
      <c r="B31" s="213"/>
      <c r="C31" s="159"/>
      <c r="D31" s="203"/>
      <c r="E31" s="146"/>
      <c r="F31" s="80"/>
      <c r="G31" s="224"/>
      <c r="H31" s="236"/>
      <c r="I31" s="279"/>
      <c r="J31" s="227"/>
      <c r="K31" s="160"/>
      <c r="L31" s="235"/>
      <c r="M31" s="91"/>
      <c r="N31" s="196"/>
      <c r="O31" s="158"/>
      <c r="P31" s="280"/>
      <c r="Q31" s="105"/>
      <c r="R31" s="105"/>
      <c r="S31" s="96"/>
      <c r="T31" s="109"/>
      <c r="U31" s="81"/>
      <c r="V31" s="81"/>
    </row>
    <row r="32" spans="1:22" x14ac:dyDescent="0.2">
      <c r="A32" s="196"/>
      <c r="B32" s="213"/>
      <c r="C32" s="159"/>
      <c r="D32" s="203"/>
      <c r="E32" s="146"/>
      <c r="F32" s="91"/>
      <c r="G32" s="196"/>
      <c r="H32" s="214"/>
      <c r="I32" s="492"/>
      <c r="J32" s="227"/>
      <c r="K32" s="160"/>
      <c r="L32" s="235"/>
      <c r="M32" s="91"/>
      <c r="N32" s="102"/>
      <c r="O32" s="103"/>
      <c r="P32" s="279"/>
      <c r="Q32" s="105"/>
      <c r="R32" s="105"/>
      <c r="S32" s="96"/>
      <c r="T32" s="81"/>
      <c r="U32" s="81"/>
      <c r="V32" s="81"/>
    </row>
    <row r="33" spans="1:22" x14ac:dyDescent="0.2">
      <c r="A33" s="196"/>
      <c r="B33" s="213"/>
      <c r="C33" s="159"/>
      <c r="D33" s="203"/>
      <c r="E33" s="146"/>
      <c r="F33" s="199"/>
      <c r="G33" s="196"/>
      <c r="H33" s="213"/>
      <c r="I33" s="280"/>
      <c r="J33" s="228"/>
      <c r="K33" s="160"/>
      <c r="L33" s="235"/>
      <c r="M33" s="91"/>
      <c r="N33" s="102"/>
      <c r="O33" s="103"/>
      <c r="P33" s="279"/>
      <c r="Q33" s="105"/>
      <c r="R33" s="105"/>
      <c r="S33" s="96"/>
      <c r="T33" s="81"/>
      <c r="U33" s="81"/>
      <c r="V33" s="81"/>
    </row>
    <row r="34" spans="1:22" x14ac:dyDescent="0.2">
      <c r="A34" s="196"/>
      <c r="B34" s="213"/>
      <c r="C34" s="159"/>
      <c r="D34" s="203"/>
      <c r="E34" s="146"/>
      <c r="F34" s="91"/>
      <c r="G34" s="196"/>
      <c r="H34" s="213"/>
      <c r="I34" s="280"/>
      <c r="J34" s="228"/>
      <c r="K34" s="160"/>
      <c r="L34" s="235"/>
      <c r="M34" s="91"/>
      <c r="N34" s="102"/>
      <c r="O34" s="103"/>
      <c r="P34" s="279"/>
      <c r="Q34" s="105"/>
      <c r="R34" s="105"/>
      <c r="S34" s="96"/>
      <c r="T34" s="81"/>
      <c r="U34" s="81"/>
      <c r="V34" s="81"/>
    </row>
    <row r="35" spans="1:22" x14ac:dyDescent="0.2">
      <c r="A35" s="196"/>
      <c r="B35" s="213"/>
      <c r="C35" s="159"/>
      <c r="D35" s="203"/>
      <c r="E35" s="146"/>
      <c r="F35" s="91"/>
      <c r="G35" s="196"/>
      <c r="H35" s="213"/>
      <c r="I35" s="280"/>
      <c r="J35" s="228"/>
      <c r="K35" s="160"/>
      <c r="L35" s="235"/>
      <c r="M35" s="91"/>
      <c r="N35" s="102"/>
      <c r="O35" s="103"/>
      <c r="P35" s="279"/>
      <c r="Q35" s="105"/>
      <c r="R35" s="105"/>
      <c r="S35" s="96"/>
      <c r="T35" s="81"/>
      <c r="U35" s="111"/>
      <c r="V35" s="81"/>
    </row>
    <row r="36" spans="1:22" x14ac:dyDescent="0.2">
      <c r="A36" s="196"/>
      <c r="B36" s="213"/>
      <c r="C36" s="159"/>
      <c r="D36" s="203"/>
      <c r="E36" s="146"/>
      <c r="F36" s="91"/>
      <c r="G36" s="196"/>
      <c r="H36" s="213"/>
      <c r="I36" s="280"/>
      <c r="J36" s="228"/>
      <c r="K36" s="160"/>
      <c r="L36" s="235"/>
      <c r="M36" s="91"/>
      <c r="N36" s="102"/>
      <c r="O36" s="103"/>
      <c r="P36" s="279"/>
      <c r="Q36" s="105"/>
      <c r="R36" s="105"/>
      <c r="S36" s="96"/>
      <c r="T36" s="81"/>
      <c r="U36" s="81"/>
      <c r="V36" s="81"/>
    </row>
    <row r="37" spans="1:22" x14ac:dyDescent="0.2">
      <c r="A37" s="196"/>
      <c r="B37" s="213"/>
      <c r="C37" s="159"/>
      <c r="D37" s="203"/>
      <c r="E37" s="146"/>
      <c r="F37" s="80"/>
      <c r="G37" s="196"/>
      <c r="H37" s="213"/>
      <c r="I37" s="280"/>
      <c r="J37" s="228"/>
      <c r="K37" s="160"/>
      <c r="L37" s="235"/>
      <c r="M37" s="91"/>
      <c r="N37" s="102"/>
      <c r="O37" s="103"/>
      <c r="P37" s="279"/>
      <c r="Q37" s="105"/>
      <c r="R37" s="105"/>
      <c r="S37" s="96"/>
      <c r="T37" s="81"/>
      <c r="U37" s="81"/>
      <c r="V37" s="81"/>
    </row>
    <row r="38" spans="1:22" x14ac:dyDescent="0.2">
      <c r="A38" s="196"/>
      <c r="B38" s="213"/>
      <c r="C38" s="159"/>
      <c r="D38" s="203"/>
      <c r="E38" s="146"/>
      <c r="F38" s="80"/>
      <c r="G38" s="196"/>
      <c r="H38" s="213"/>
      <c r="I38" s="280"/>
      <c r="J38" s="228"/>
      <c r="K38" s="160"/>
      <c r="L38" s="235"/>
      <c r="M38" s="91"/>
      <c r="N38" s="102"/>
      <c r="O38" s="103"/>
      <c r="P38" s="279"/>
      <c r="Q38" s="105"/>
      <c r="R38" s="105"/>
      <c r="S38" s="96"/>
      <c r="T38" s="81"/>
      <c r="U38" s="81"/>
      <c r="V38" s="81"/>
    </row>
    <row r="39" spans="1:22" x14ac:dyDescent="0.2">
      <c r="A39" s="196"/>
      <c r="B39" s="322"/>
      <c r="C39" s="159"/>
      <c r="D39" s="203"/>
      <c r="E39" s="146"/>
      <c r="F39" s="80"/>
      <c r="G39" s="196"/>
      <c r="H39" s="213"/>
      <c r="I39" s="280"/>
      <c r="J39" s="228"/>
      <c r="K39" s="160"/>
      <c r="L39" s="235"/>
      <c r="M39" s="91"/>
      <c r="N39" s="102"/>
      <c r="O39" s="103"/>
      <c r="P39" s="279"/>
      <c r="Q39" s="105"/>
      <c r="R39" s="105"/>
      <c r="S39" s="96"/>
      <c r="T39" s="81"/>
      <c r="U39" s="81"/>
      <c r="V39" s="81"/>
    </row>
    <row r="40" spans="1:22" x14ac:dyDescent="0.2">
      <c r="A40" s="464"/>
      <c r="B40" s="465"/>
      <c r="C40" s="466"/>
      <c r="D40" s="467"/>
      <c r="E40" s="146"/>
      <c r="F40" s="80"/>
      <c r="G40" s="196"/>
      <c r="H40" s="213"/>
      <c r="I40" s="280"/>
      <c r="J40" s="228"/>
      <c r="K40" s="160"/>
      <c r="L40" s="235"/>
      <c r="M40" s="91"/>
      <c r="N40" s="102"/>
      <c r="O40" s="103"/>
      <c r="P40" s="279"/>
      <c r="Q40" s="105"/>
      <c r="R40" s="105"/>
      <c r="S40" s="96"/>
      <c r="T40" s="81"/>
      <c r="U40" s="81"/>
      <c r="V40" s="81"/>
    </row>
    <row r="41" spans="1:22" x14ac:dyDescent="0.2">
      <c r="A41" s="468"/>
      <c r="B41" s="322"/>
      <c r="C41" s="159"/>
      <c r="D41" s="203"/>
      <c r="E41" s="469"/>
      <c r="F41" s="80"/>
      <c r="G41" s="196"/>
      <c r="H41" s="322"/>
      <c r="I41" s="280"/>
      <c r="J41" s="228"/>
      <c r="K41" s="160"/>
      <c r="L41" s="235"/>
      <c r="M41" s="91"/>
      <c r="N41" s="102"/>
      <c r="O41" s="103"/>
      <c r="P41" s="279"/>
      <c r="Q41" s="105"/>
      <c r="R41" s="105"/>
      <c r="S41" s="96"/>
      <c r="T41" s="81"/>
      <c r="U41" s="81"/>
      <c r="V41" s="81"/>
    </row>
    <row r="42" spans="1:22" x14ac:dyDescent="0.2">
      <c r="A42" s="470"/>
      <c r="B42" s="465"/>
      <c r="C42" s="466"/>
      <c r="D42" s="467"/>
      <c r="E42" s="471"/>
      <c r="F42" s="80"/>
      <c r="G42" s="464"/>
      <c r="H42" s="465"/>
      <c r="I42" s="472"/>
      <c r="J42" s="473"/>
      <c r="K42" s="160"/>
      <c r="L42" s="235"/>
      <c r="M42" s="91"/>
      <c r="N42" s="102"/>
      <c r="O42" s="103"/>
      <c r="P42" s="279"/>
      <c r="Q42" s="105"/>
      <c r="R42" s="105"/>
      <c r="S42" s="96"/>
      <c r="T42" s="81"/>
      <c r="U42" s="81"/>
      <c r="V42" s="81"/>
    </row>
    <row r="43" spans="1:22" x14ac:dyDescent="0.2">
      <c r="A43" s="474"/>
      <c r="B43" s="475"/>
      <c r="C43" s="476"/>
      <c r="D43" s="476"/>
      <c r="E43" s="477"/>
      <c r="F43" s="80"/>
      <c r="G43" s="468"/>
      <c r="H43" s="322"/>
      <c r="I43" s="280"/>
      <c r="J43" s="228"/>
      <c r="K43" s="160"/>
      <c r="L43" s="235"/>
      <c r="M43" s="91"/>
      <c r="N43" s="121"/>
      <c r="O43" s="118"/>
      <c r="P43" s="287"/>
      <c r="Q43" s="119"/>
      <c r="R43" s="119"/>
      <c r="S43" s="122"/>
      <c r="T43" s="81"/>
      <c r="U43" s="81"/>
      <c r="V43" s="81"/>
    </row>
    <row r="44" spans="1:22" x14ac:dyDescent="0.2">
      <c r="A44" s="81"/>
      <c r="B44" s="81"/>
      <c r="C44" s="250"/>
      <c r="D44" s="81"/>
      <c r="E44" s="81"/>
      <c r="F44" s="81"/>
      <c r="G44" s="470"/>
      <c r="H44" s="465"/>
      <c r="I44" s="472"/>
      <c r="J44" s="473"/>
      <c r="K44" s="508"/>
      <c r="L44" s="226"/>
      <c r="M44" s="174"/>
      <c r="N44" s="81"/>
      <c r="O44" s="123">
        <f>SUM(O26:O43)</f>
        <v>0</v>
      </c>
      <c r="P44" s="81"/>
      <c r="Q44" s="81"/>
      <c r="R44" s="81"/>
      <c r="S44" s="81"/>
      <c r="T44" s="123">
        <f>O44-T31</f>
        <v>0</v>
      </c>
      <c r="U44" s="81"/>
      <c r="V44" s="81"/>
    </row>
    <row r="45" spans="1:22" x14ac:dyDescent="0.2">
      <c r="A45" s="81"/>
      <c r="B45" s="109"/>
      <c r="C45" s="250"/>
      <c r="D45" s="81"/>
      <c r="E45" s="81"/>
      <c r="F45" s="81"/>
      <c r="G45" s="474"/>
      <c r="H45" s="475"/>
      <c r="I45" s="518"/>
      <c r="J45" s="553"/>
      <c r="K45" s="519"/>
      <c r="L45" s="212"/>
      <c r="M45" s="81"/>
      <c r="N45" s="81"/>
      <c r="O45" s="81"/>
      <c r="P45" s="81"/>
      <c r="Q45" s="81"/>
      <c r="R45" s="81"/>
      <c r="S45" s="81"/>
      <c r="T45" s="111"/>
      <c r="U45" s="81"/>
      <c r="V45" s="81"/>
    </row>
    <row r="46" spans="1:22" x14ac:dyDescent="0.2">
      <c r="B46" s="44">
        <f>SUM(B26:B45)</f>
        <v>0</v>
      </c>
      <c r="H46" s="44"/>
    </row>
    <row r="48" spans="1:22" x14ac:dyDescent="0.2">
      <c r="H48" s="44">
        <f>SUM(H26:H47)</f>
        <v>0</v>
      </c>
    </row>
    <row r="50" spans="7:8" x14ac:dyDescent="0.2">
      <c r="G50" s="40" t="s">
        <v>27</v>
      </c>
      <c r="H50" s="41">
        <f>H48-O44</f>
        <v>0</v>
      </c>
    </row>
  </sheetData>
  <sortState xmlns:xlrd2="http://schemas.microsoft.com/office/spreadsheetml/2017/richdata2" ref="A2:E16">
    <sortCondition ref="A2:A16"/>
  </sortState>
  <mergeCells count="4">
    <mergeCell ref="O2:P2"/>
    <mergeCell ref="A24:E24"/>
    <mergeCell ref="G24:K24"/>
    <mergeCell ref="N24:R24"/>
  </mergeCells>
  <conditionalFormatting sqref="D2:D16">
    <cfRule type="iconSet" priority="1">
      <iconSet showValue="0">
        <cfvo type="percent" val="0"/>
        <cfvo type="num" val="0" gte="0"/>
        <cfvo type="num" val="2"/>
      </iconSet>
    </cfRule>
    <cfRule type="iconSet" priority="2">
      <iconSet showValue="0">
        <cfvo type="percent" val="0"/>
        <cfvo type="num" val="0"/>
        <cfvo type="num" val="2"/>
      </iconSet>
    </cfRule>
  </conditionalFormatting>
  <dataValidations count="1">
    <dataValidation type="date" allowBlank="1" showInputMessage="1" showErrorMessage="1" sqref="C3:C16" xr:uid="{89F85A69-6167-4772-B2A7-EC0699F51615}">
      <formula1>45658</formula1>
      <formula2>46022</formula2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89C1BEBC-CB07-4182-BBD8-FECB6A4B7211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TrafficLights1" iconId="1"/>
              <x14:cfIcon iconSet="4RedToBlack" iconId="3"/>
              <x14:cfIcon iconSet="3Symbols" iconId="2"/>
            </x14:iconSet>
          </x14:cfRule>
          <x14:cfRule type="iconSet" priority="4" id="{92FADD6D-1775-4F26-866B-F0AC71CFED7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D2:D16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EB42-CA55-B947-8593-613864A29EC9}">
  <sheetPr>
    <tabColor theme="0"/>
  </sheetPr>
  <dimension ref="A1:V50"/>
  <sheetViews>
    <sheetView topLeftCell="A18" zoomScale="82" zoomScaleNormal="150" zoomScaleSheetLayoutView="100" workbookViewId="0">
      <selection activeCell="B2" sqref="B2"/>
    </sheetView>
  </sheetViews>
  <sheetFormatPr defaultColWidth="8.875" defaultRowHeight="15" x14ac:dyDescent="0.2"/>
  <cols>
    <col min="1" max="1" width="14.125" bestFit="1" customWidth="1"/>
    <col min="2" max="2" width="19.1015625" customWidth="1"/>
    <col min="3" max="3" width="15.33203125" style="152" customWidth="1"/>
    <col min="4" max="4" width="10.625" bestFit="1" customWidth="1"/>
    <col min="5" max="5" width="11.703125" bestFit="1" customWidth="1"/>
    <col min="6" max="6" width="28.515625" customWidth="1"/>
    <col min="7" max="7" width="15.46875" customWidth="1"/>
    <col min="8" max="8" width="11.56640625" bestFit="1" customWidth="1"/>
    <col min="9" max="9" width="10.22265625" customWidth="1"/>
    <col min="10" max="11" width="8.47265625" bestFit="1" customWidth="1"/>
    <col min="12" max="12" width="11.02734375" bestFit="1" customWidth="1"/>
    <col min="13" max="13" width="8.47265625" bestFit="1" customWidth="1"/>
    <col min="14" max="14" width="14.125" bestFit="1" customWidth="1"/>
    <col min="15" max="15" width="11.296875" bestFit="1" customWidth="1"/>
    <col min="16" max="16" width="10.0859375" customWidth="1"/>
    <col min="17" max="18" width="8.47265625" bestFit="1" customWidth="1"/>
    <col min="19" max="19" width="19.37109375" customWidth="1"/>
    <col min="20" max="20" width="10.0859375" bestFit="1" customWidth="1"/>
    <col min="21" max="21" width="9.4140625" bestFit="1" customWidth="1"/>
  </cols>
  <sheetData>
    <row r="1" spans="1:22" x14ac:dyDescent="0.2">
      <c r="A1" s="266" t="s">
        <v>0</v>
      </c>
      <c r="B1" s="267" t="s">
        <v>1</v>
      </c>
      <c r="C1" s="268" t="s">
        <v>2</v>
      </c>
      <c r="D1" s="269" t="s">
        <v>3</v>
      </c>
      <c r="E1" s="270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"/>
      <c r="T1" s="1"/>
      <c r="U1" s="1"/>
      <c r="V1" s="1"/>
    </row>
    <row r="2" spans="1:22" x14ac:dyDescent="0.2">
      <c r="A2" s="262" t="s">
        <v>35</v>
      </c>
      <c r="B2" s="264">
        <v>1000</v>
      </c>
      <c r="C2" s="288"/>
      <c r="D2" s="264"/>
      <c r="E2" s="264">
        <v>500</v>
      </c>
      <c r="F2" s="4"/>
      <c r="G2" s="4"/>
      <c r="H2" s="4"/>
      <c r="I2" s="4"/>
      <c r="J2" s="4"/>
      <c r="K2" s="4"/>
      <c r="L2" s="4"/>
      <c r="M2" s="4"/>
      <c r="N2" s="4"/>
      <c r="O2" s="705" t="s">
        <v>7</v>
      </c>
      <c r="P2" s="706"/>
      <c r="Q2" s="4"/>
      <c r="R2" s="4"/>
      <c r="S2" s="1"/>
      <c r="T2" s="1"/>
      <c r="U2" s="1"/>
      <c r="V2" s="1"/>
    </row>
    <row r="3" spans="1:22" x14ac:dyDescent="0.2">
      <c r="A3" s="271" t="s">
        <v>5</v>
      </c>
      <c r="B3" s="264">
        <v>63</v>
      </c>
      <c r="C3" s="288"/>
      <c r="D3" s="337"/>
      <c r="E3" s="264"/>
      <c r="F3" s="4"/>
      <c r="G3" s="4"/>
      <c r="H3" s="4"/>
      <c r="I3" s="4"/>
      <c r="J3" s="4"/>
      <c r="K3" s="4"/>
      <c r="L3" s="4"/>
      <c r="M3" s="4"/>
      <c r="N3" s="4"/>
      <c r="O3" s="71"/>
      <c r="P3" s="72"/>
      <c r="Q3" s="4"/>
      <c r="R3" s="4"/>
      <c r="S3" s="1"/>
      <c r="T3" s="1"/>
      <c r="U3" s="1"/>
      <c r="V3" s="1"/>
    </row>
    <row r="4" spans="1:22" x14ac:dyDescent="0.2">
      <c r="A4" s="271" t="s">
        <v>9</v>
      </c>
      <c r="B4" s="264">
        <v>1060</v>
      </c>
      <c r="C4" s="288"/>
      <c r="D4" s="264"/>
      <c r="E4" s="264"/>
      <c r="F4" s="4"/>
      <c r="G4" s="4"/>
      <c r="H4" s="4"/>
      <c r="I4" s="4"/>
      <c r="J4" s="4"/>
      <c r="K4" s="4"/>
      <c r="L4" s="4"/>
      <c r="M4" s="4"/>
      <c r="N4" s="4"/>
      <c r="O4" s="69"/>
      <c r="P4" s="70"/>
      <c r="Q4" s="4"/>
      <c r="R4" s="4"/>
      <c r="S4" s="1"/>
      <c r="T4" s="1"/>
      <c r="U4" s="1"/>
      <c r="V4" s="1"/>
    </row>
    <row r="5" spans="1:22" x14ac:dyDescent="0.2">
      <c r="A5" s="271" t="s">
        <v>12</v>
      </c>
      <c r="B5" s="264">
        <v>780</v>
      </c>
      <c r="C5" s="288"/>
      <c r="D5" s="264"/>
      <c r="E5" s="264"/>
      <c r="F5" s="4"/>
      <c r="G5" s="4"/>
      <c r="H5" s="4"/>
      <c r="I5" s="4"/>
      <c r="J5" s="4"/>
      <c r="K5" s="4"/>
      <c r="L5" s="4"/>
      <c r="M5" s="4"/>
      <c r="N5" s="4"/>
      <c r="O5" s="69"/>
      <c r="P5" s="70"/>
      <c r="Q5" s="4"/>
      <c r="R5" s="4"/>
      <c r="S5" s="1"/>
      <c r="T5" s="1"/>
      <c r="U5" s="1"/>
      <c r="V5" s="1"/>
    </row>
    <row r="6" spans="1:22" x14ac:dyDescent="0.2">
      <c r="A6" s="271" t="s">
        <v>17</v>
      </c>
      <c r="B6" s="264">
        <v>1500</v>
      </c>
      <c r="C6" s="288"/>
      <c r="D6" s="264"/>
      <c r="E6" s="264"/>
      <c r="G6" s="4"/>
      <c r="H6" s="4"/>
      <c r="I6" s="4"/>
      <c r="J6" s="4"/>
      <c r="K6" s="4"/>
      <c r="L6" s="4"/>
      <c r="M6" s="4"/>
      <c r="N6" s="4"/>
      <c r="O6" s="69"/>
      <c r="P6" s="70"/>
      <c r="Q6" s="4"/>
      <c r="R6" s="4"/>
      <c r="S6" s="1"/>
      <c r="T6" s="1"/>
      <c r="U6" s="1"/>
      <c r="V6" s="1"/>
    </row>
    <row r="7" spans="1:22" x14ac:dyDescent="0.2">
      <c r="A7" s="271" t="s">
        <v>38</v>
      </c>
      <c r="B7" s="264">
        <v>143</v>
      </c>
      <c r="C7" s="288"/>
      <c r="D7" s="264"/>
      <c r="E7" s="264"/>
      <c r="F7" s="4"/>
      <c r="L7" s="4"/>
      <c r="M7" s="4"/>
      <c r="N7" s="4"/>
      <c r="O7" s="69"/>
      <c r="P7" s="70"/>
      <c r="Q7" s="4"/>
      <c r="R7" s="4"/>
      <c r="S7" s="1"/>
      <c r="T7" s="1"/>
      <c r="U7" s="1"/>
      <c r="V7" s="1"/>
    </row>
    <row r="8" spans="1:22" x14ac:dyDescent="0.2">
      <c r="A8" s="271" t="s">
        <v>19</v>
      </c>
      <c r="B8" s="264">
        <v>280</v>
      </c>
      <c r="C8" s="288"/>
      <c r="D8" s="264"/>
      <c r="E8" s="264"/>
      <c r="F8" s="4"/>
      <c r="L8" s="4"/>
      <c r="M8" s="4"/>
      <c r="N8" s="4"/>
      <c r="O8" s="69"/>
      <c r="P8" s="70"/>
      <c r="Q8" s="4"/>
      <c r="R8" s="4"/>
      <c r="S8" s="1"/>
      <c r="T8" s="1"/>
      <c r="U8" s="1"/>
      <c r="V8" s="1"/>
    </row>
    <row r="9" spans="1:22" x14ac:dyDescent="0.2">
      <c r="A9" s="271" t="s">
        <v>14</v>
      </c>
      <c r="B9" s="264">
        <v>200</v>
      </c>
      <c r="C9" s="288"/>
      <c r="D9" s="264"/>
      <c r="E9" s="264"/>
      <c r="F9" s="4"/>
      <c r="L9" s="4"/>
      <c r="M9" s="4"/>
      <c r="N9" s="4"/>
      <c r="O9" s="69"/>
      <c r="P9" s="70"/>
      <c r="Q9" s="4"/>
      <c r="R9" s="4"/>
      <c r="S9" s="1"/>
      <c r="T9" s="1"/>
      <c r="U9" s="1"/>
      <c r="V9" s="1"/>
    </row>
    <row r="10" spans="1:22" x14ac:dyDescent="0.2">
      <c r="A10" s="271" t="s">
        <v>15</v>
      </c>
      <c r="B10" s="264"/>
      <c r="C10" s="288"/>
      <c r="D10" s="264"/>
      <c r="E10" s="264"/>
      <c r="F10" s="4"/>
      <c r="L10" s="4"/>
      <c r="M10" s="4"/>
      <c r="N10" s="4"/>
      <c r="O10" s="69"/>
      <c r="P10" s="70"/>
      <c r="Q10" s="4"/>
      <c r="R10" s="4"/>
      <c r="S10" s="1"/>
      <c r="T10" s="1"/>
      <c r="U10" s="1"/>
      <c r="V10" s="1"/>
    </row>
    <row r="11" spans="1:22" x14ac:dyDescent="0.2">
      <c r="A11" s="271" t="s">
        <v>8</v>
      </c>
      <c r="B11" s="264">
        <v>350</v>
      </c>
      <c r="C11" s="288"/>
      <c r="D11" s="264"/>
      <c r="E11" s="264"/>
      <c r="L11" s="4"/>
      <c r="M11" s="4"/>
      <c r="N11" s="4"/>
      <c r="O11" s="69"/>
      <c r="P11" s="70"/>
      <c r="Q11" s="4"/>
      <c r="R11" s="4"/>
      <c r="S11" s="1"/>
      <c r="T11" s="1"/>
      <c r="U11" s="1"/>
      <c r="V11" s="1"/>
    </row>
    <row r="12" spans="1:22" x14ac:dyDescent="0.2">
      <c r="A12" s="271" t="s">
        <v>11</v>
      </c>
      <c r="B12" s="264">
        <v>300</v>
      </c>
      <c r="C12" s="288"/>
      <c r="D12" s="264"/>
      <c r="E12" s="264"/>
      <c r="F12" s="4"/>
      <c r="L12" s="4"/>
      <c r="M12" s="4"/>
      <c r="N12" s="4"/>
      <c r="O12" s="69"/>
      <c r="P12" s="70"/>
      <c r="Q12" s="4"/>
      <c r="R12" s="4"/>
      <c r="S12" s="1"/>
      <c r="T12" s="1"/>
      <c r="U12" s="1"/>
      <c r="V12" s="1"/>
    </row>
    <row r="13" spans="1:22" x14ac:dyDescent="0.2">
      <c r="A13" s="271" t="s">
        <v>10</v>
      </c>
      <c r="B13" s="264">
        <v>200</v>
      </c>
      <c r="C13" s="288"/>
      <c r="D13" s="264"/>
      <c r="E13" s="264">
        <v>100</v>
      </c>
      <c r="F13" s="4"/>
      <c r="L13" s="4"/>
      <c r="M13" s="4"/>
      <c r="N13" s="4"/>
      <c r="O13" s="69"/>
      <c r="P13" s="70"/>
      <c r="Q13" s="4"/>
      <c r="R13" s="4"/>
      <c r="S13" s="1"/>
      <c r="T13" s="1"/>
      <c r="U13" s="1"/>
      <c r="V13" s="1"/>
    </row>
    <row r="14" spans="1:22" x14ac:dyDescent="0.2">
      <c r="A14" s="271" t="s">
        <v>18</v>
      </c>
      <c r="B14" s="264">
        <v>2400</v>
      </c>
      <c r="C14" s="288"/>
      <c r="D14" s="264"/>
      <c r="E14" s="264"/>
      <c r="F14" s="4"/>
      <c r="L14" s="4"/>
      <c r="M14" s="4"/>
      <c r="N14" s="4"/>
      <c r="O14" s="69"/>
      <c r="P14" s="70"/>
      <c r="Q14" s="4"/>
      <c r="R14" s="4"/>
      <c r="S14" s="1"/>
      <c r="T14" s="1"/>
      <c r="U14" s="1"/>
      <c r="V14" s="1"/>
    </row>
    <row r="15" spans="1:22" x14ac:dyDescent="0.2">
      <c r="A15" s="272" t="s">
        <v>39</v>
      </c>
      <c r="B15" s="264">
        <v>2420</v>
      </c>
      <c r="C15" s="288"/>
      <c r="D15" s="264"/>
      <c r="E15" s="264"/>
      <c r="F15" s="4"/>
      <c r="L15" s="4"/>
      <c r="M15" s="4"/>
      <c r="N15" s="4"/>
      <c r="O15" s="69"/>
      <c r="P15" s="70">
        <f>SUM(P3:P14)</f>
        <v>0</v>
      </c>
      <c r="Q15" s="4"/>
      <c r="R15" s="4"/>
      <c r="S15" s="1"/>
      <c r="T15" s="1"/>
      <c r="U15" s="1"/>
      <c r="V15" s="1"/>
    </row>
    <row r="16" spans="1:22" ht="15.75" thickBot="1" x14ac:dyDescent="0.25">
      <c r="A16" s="263"/>
      <c r="B16" s="273"/>
      <c r="C16" s="289"/>
      <c r="D16" s="274"/>
      <c r="E16" s="275"/>
      <c r="L16" s="4"/>
      <c r="M16" s="4"/>
      <c r="N16" s="4"/>
      <c r="O16" s="4"/>
      <c r="P16" s="4"/>
      <c r="Q16" s="4"/>
      <c r="R16" s="4"/>
      <c r="S16" s="1"/>
      <c r="T16" s="1"/>
      <c r="U16" s="1"/>
      <c r="V16" s="1"/>
    </row>
    <row r="17" spans="1:22" x14ac:dyDescent="0.2">
      <c r="A17" s="8"/>
      <c r="B17" s="8"/>
      <c r="C17" s="8"/>
      <c r="E17" s="8"/>
      <c r="F17" s="4"/>
      <c r="L17" s="4"/>
      <c r="M17" s="4"/>
      <c r="N17" s="4"/>
      <c r="O17" s="4"/>
      <c r="P17" s="4"/>
      <c r="Q17" s="4"/>
      <c r="R17" s="4"/>
      <c r="S17" s="1"/>
      <c r="T17" s="1"/>
      <c r="U17" s="1"/>
      <c r="V17" s="1"/>
    </row>
    <row r="18" spans="1:22" x14ac:dyDescent="0.2">
      <c r="A18" s="8"/>
      <c r="B18" s="14">
        <f>SUM(B2:B17)</f>
        <v>10696</v>
      </c>
      <c r="C18" s="8"/>
      <c r="D18" s="143"/>
      <c r="E18" s="14">
        <f>SUM(E2:E17)</f>
        <v>600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1"/>
      <c r="T18" s="1"/>
      <c r="U18" s="1"/>
      <c r="V18" s="1"/>
    </row>
    <row r="19" spans="1:22" x14ac:dyDescent="0.2">
      <c r="A19" s="8"/>
      <c r="B19" s="8"/>
      <c r="C19" s="8"/>
      <c r="D19" s="143"/>
      <c r="E19" s="8"/>
      <c r="F19" s="1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"/>
      <c r="T19" s="1"/>
      <c r="U19" s="1"/>
      <c r="V19" s="1"/>
    </row>
    <row r="20" spans="1:22" x14ac:dyDescent="0.2">
      <c r="A20" s="8"/>
      <c r="B20" s="8"/>
      <c r="C20" s="8"/>
      <c r="D20" s="143"/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1"/>
      <c r="T20" s="1"/>
      <c r="U20" s="1"/>
      <c r="V20" s="1"/>
    </row>
    <row r="21" spans="1:22" x14ac:dyDescent="0.2">
      <c r="A21" s="8"/>
      <c r="B21" s="8"/>
      <c r="C21" s="8"/>
      <c r="D21" s="143"/>
      <c r="E21" s="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1"/>
      <c r="T21" s="1"/>
      <c r="U21" s="1"/>
      <c r="V21" s="1"/>
    </row>
    <row r="22" spans="1:22" x14ac:dyDescent="0.2">
      <c r="A22" s="8"/>
      <c r="B22" s="8"/>
      <c r="C22" s="8"/>
      <c r="D22" s="143"/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1"/>
      <c r="T22" s="1"/>
      <c r="U22" s="1"/>
      <c r="V22" s="1"/>
    </row>
    <row r="23" spans="1:22" ht="15.75" thickBot="1" x14ac:dyDescent="0.25">
      <c r="A23" s="8"/>
      <c r="B23" s="8"/>
      <c r="C23" s="8"/>
      <c r="D23" s="143"/>
      <c r="E23" s="8"/>
      <c r="F23" s="4"/>
      <c r="G23" s="4"/>
      <c r="H23" s="4"/>
      <c r="I23" s="4"/>
      <c r="J23" s="4"/>
      <c r="K23" s="4"/>
      <c r="L23" s="4"/>
      <c r="M23" s="52"/>
      <c r="N23" s="4"/>
      <c r="O23" s="4"/>
      <c r="P23" s="4"/>
      <c r="Q23" s="4"/>
      <c r="R23" s="4"/>
      <c r="S23" s="1"/>
      <c r="T23" s="1"/>
      <c r="U23" s="1"/>
      <c r="V23" s="1"/>
    </row>
    <row r="24" spans="1:22" x14ac:dyDescent="0.2">
      <c r="A24" s="707" t="s">
        <v>30</v>
      </c>
      <c r="B24" s="708"/>
      <c r="C24" s="708"/>
      <c r="D24" s="708"/>
      <c r="E24" s="709"/>
      <c r="F24" s="4"/>
      <c r="G24" s="710" t="s">
        <v>20</v>
      </c>
      <c r="H24" s="711"/>
      <c r="I24" s="711"/>
      <c r="J24" s="711"/>
      <c r="K24" s="712"/>
      <c r="L24" s="251" t="s">
        <v>21</v>
      </c>
      <c r="M24" s="63"/>
      <c r="N24" s="713" t="s">
        <v>22</v>
      </c>
      <c r="O24" s="714"/>
      <c r="P24" s="714"/>
      <c r="Q24" s="714"/>
      <c r="R24" s="714"/>
      <c r="S24" s="304" t="s">
        <v>21</v>
      </c>
      <c r="T24" s="1"/>
      <c r="U24" s="1"/>
      <c r="V24" s="1"/>
    </row>
    <row r="25" spans="1:22" ht="15" customHeight="1" x14ac:dyDescent="0.2">
      <c r="A25" s="294" t="s">
        <v>24</v>
      </c>
      <c r="B25" s="252" t="s">
        <v>1</v>
      </c>
      <c r="C25" s="252" t="s">
        <v>2</v>
      </c>
      <c r="D25" s="253" t="s">
        <v>25</v>
      </c>
      <c r="E25" s="312"/>
      <c r="F25" s="4"/>
      <c r="G25" s="316" t="s">
        <v>24</v>
      </c>
      <c r="H25" s="317" t="s">
        <v>1</v>
      </c>
      <c r="I25" s="317" t="s">
        <v>2</v>
      </c>
      <c r="J25" s="317" t="s">
        <v>25</v>
      </c>
      <c r="K25" s="317" t="s">
        <v>3</v>
      </c>
      <c r="L25" s="318"/>
      <c r="M25" s="63"/>
      <c r="N25" s="305" t="s">
        <v>24</v>
      </c>
      <c r="O25" s="15" t="s">
        <v>1</v>
      </c>
      <c r="P25" s="15" t="s">
        <v>2</v>
      </c>
      <c r="Q25" s="15" t="s">
        <v>25</v>
      </c>
      <c r="R25" s="15" t="s">
        <v>6</v>
      </c>
      <c r="S25" s="306"/>
      <c r="T25" s="1"/>
      <c r="U25" s="1"/>
      <c r="V25" s="1"/>
    </row>
    <row r="26" spans="1:22" x14ac:dyDescent="0.2">
      <c r="A26" s="522"/>
      <c r="B26" s="254"/>
      <c r="C26" s="291"/>
      <c r="D26" s="255"/>
      <c r="E26" s="298"/>
      <c r="F26" s="523"/>
      <c r="G26" s="319"/>
      <c r="H26" s="314"/>
      <c r="I26" s="291"/>
      <c r="J26" s="6"/>
      <c r="K26" s="6"/>
      <c r="L26" s="256"/>
      <c r="M26" s="524"/>
      <c r="N26" s="307"/>
      <c r="O26" s="321"/>
      <c r="P26" s="292"/>
      <c r="Q26" s="17"/>
      <c r="R26" s="17"/>
      <c r="S26" s="525"/>
      <c r="T26" s="1"/>
      <c r="U26" s="1"/>
      <c r="V26" s="1"/>
    </row>
    <row r="27" spans="1:22" x14ac:dyDescent="0.2">
      <c r="A27" s="297"/>
      <c r="B27" s="214"/>
      <c r="C27" s="315"/>
      <c r="D27" s="197"/>
      <c r="E27" s="434"/>
      <c r="F27" s="523"/>
      <c r="G27" s="319"/>
      <c r="H27" s="314"/>
      <c r="I27" s="291"/>
      <c r="J27" s="6"/>
      <c r="K27" s="6"/>
      <c r="L27" s="256"/>
      <c r="M27" s="524"/>
      <c r="N27" s="307"/>
      <c r="O27" s="321"/>
      <c r="P27" s="292"/>
      <c r="Q27" s="17"/>
      <c r="R27" s="17"/>
      <c r="S27" s="525"/>
      <c r="T27" s="1"/>
      <c r="U27" s="1"/>
      <c r="V27" s="1"/>
    </row>
    <row r="28" spans="1:22" x14ac:dyDescent="0.2">
      <c r="A28" s="435"/>
      <c r="B28" s="436"/>
      <c r="C28" s="490"/>
      <c r="D28" s="352"/>
      <c r="E28" s="438"/>
      <c r="F28" s="523"/>
      <c r="G28" s="319"/>
      <c r="H28" s="322"/>
      <c r="I28" s="291"/>
      <c r="J28" s="6"/>
      <c r="K28" s="6"/>
      <c r="L28" s="256"/>
      <c r="M28" s="524"/>
      <c r="N28" s="307"/>
      <c r="O28" s="321"/>
      <c r="P28" s="292"/>
      <c r="Q28" s="17"/>
      <c r="R28" s="17"/>
      <c r="S28" s="525"/>
      <c r="T28" s="1"/>
      <c r="U28" s="1"/>
      <c r="V28" s="1"/>
    </row>
    <row r="29" spans="1:22" x14ac:dyDescent="0.2">
      <c r="A29" s="461"/>
      <c r="B29" s="410"/>
      <c r="C29" s="288"/>
      <c r="D29" s="352"/>
      <c r="E29" s="462"/>
      <c r="F29" s="491"/>
      <c r="G29" s="196"/>
      <c r="H29" s="214"/>
      <c r="I29" s="315"/>
      <c r="J29" s="463"/>
      <c r="K29" s="197"/>
      <c r="L29" s="256"/>
      <c r="M29" s="524"/>
      <c r="N29" s="307"/>
      <c r="O29" s="321"/>
      <c r="P29" s="292"/>
      <c r="Q29" s="17"/>
      <c r="R29" s="17"/>
      <c r="S29" s="525"/>
      <c r="T29" s="1"/>
      <c r="U29" s="1"/>
      <c r="V29" s="1"/>
    </row>
    <row r="30" spans="1:22" x14ac:dyDescent="0.2">
      <c r="A30" s="295"/>
      <c r="B30" s="261"/>
      <c r="C30" s="290"/>
      <c r="D30" s="352"/>
      <c r="E30" s="296"/>
      <c r="F30" s="523"/>
      <c r="G30" s="196"/>
      <c r="H30" s="214"/>
      <c r="I30" s="315"/>
      <c r="J30" s="197"/>
      <c r="K30" s="197"/>
      <c r="L30" s="256"/>
      <c r="M30" s="524"/>
      <c r="N30" s="307"/>
      <c r="O30" s="321"/>
      <c r="P30" s="292"/>
      <c r="Q30" s="17"/>
      <c r="R30" s="17"/>
      <c r="S30" s="308"/>
      <c r="T30" s="39">
        <f>SUM(O26:O28)</f>
        <v>0</v>
      </c>
      <c r="U30" s="1"/>
      <c r="V30" s="1"/>
    </row>
    <row r="31" spans="1:22" ht="16.5" customHeight="1" x14ac:dyDescent="0.2">
      <c r="A31" s="297"/>
      <c r="B31" s="254"/>
      <c r="C31" s="291"/>
      <c r="D31" s="352"/>
      <c r="E31" s="298"/>
      <c r="F31" s="523"/>
      <c r="G31" s="196"/>
      <c r="H31" s="213"/>
      <c r="I31" s="280"/>
      <c r="J31" s="203"/>
      <c r="K31" s="203"/>
      <c r="L31" s="256"/>
      <c r="M31" s="524"/>
      <c r="N31" s="297"/>
      <c r="O31" s="254"/>
      <c r="P31" s="291"/>
      <c r="Q31" s="17"/>
      <c r="R31" s="17"/>
      <c r="S31" s="525"/>
      <c r="T31" s="39"/>
      <c r="U31" s="1"/>
      <c r="V31" s="1"/>
    </row>
    <row r="32" spans="1:22" x14ac:dyDescent="0.2">
      <c r="A32" s="297"/>
      <c r="B32" s="254"/>
      <c r="C32" s="291"/>
      <c r="D32" s="352"/>
      <c r="E32" s="298"/>
      <c r="F32" s="524"/>
      <c r="G32" s="196"/>
      <c r="H32" s="214"/>
      <c r="I32" s="492"/>
      <c r="J32" s="6"/>
      <c r="K32" s="6"/>
      <c r="L32" s="256"/>
      <c r="M32" s="524"/>
      <c r="N32" s="297"/>
      <c r="O32" s="213"/>
      <c r="P32" s="280"/>
      <c r="Q32" s="17"/>
      <c r="R32" s="17"/>
      <c r="S32" s="525"/>
      <c r="T32" s="1"/>
      <c r="U32" s="1"/>
      <c r="V32" s="1"/>
    </row>
    <row r="33" spans="1:22" x14ac:dyDescent="0.2">
      <c r="A33" s="297"/>
      <c r="B33" s="254"/>
      <c r="C33" s="291"/>
      <c r="D33" s="352"/>
      <c r="E33" s="298"/>
      <c r="F33" s="526"/>
      <c r="G33" s="196"/>
      <c r="H33" s="254"/>
      <c r="I33" s="291"/>
      <c r="J33" s="255"/>
      <c r="K33" s="6"/>
      <c r="L33" s="256"/>
      <c r="M33" s="524"/>
      <c r="N33" s="297"/>
      <c r="O33" s="213"/>
      <c r="P33" s="280"/>
      <c r="Q33" s="17"/>
      <c r="R33" s="17"/>
      <c r="S33" s="525"/>
      <c r="T33" s="1"/>
      <c r="U33" s="1"/>
      <c r="V33" s="1"/>
    </row>
    <row r="34" spans="1:22" x14ac:dyDescent="0.2">
      <c r="A34" s="297"/>
      <c r="B34" s="254"/>
      <c r="C34" s="291"/>
      <c r="D34" s="352"/>
      <c r="E34" s="298"/>
      <c r="F34" s="524"/>
      <c r="G34" s="196"/>
      <c r="H34" s="254"/>
      <c r="I34" s="291"/>
      <c r="J34" s="255"/>
      <c r="K34" s="6"/>
      <c r="L34" s="256"/>
      <c r="M34" s="524"/>
      <c r="N34" s="297"/>
      <c r="O34" s="213"/>
      <c r="P34" s="280"/>
      <c r="Q34" s="17"/>
      <c r="R34" s="17"/>
      <c r="S34" s="525"/>
      <c r="T34" s="1"/>
      <c r="U34" s="1"/>
      <c r="V34" s="1"/>
    </row>
    <row r="35" spans="1:22" x14ac:dyDescent="0.2">
      <c r="A35" s="297"/>
      <c r="B35" s="254"/>
      <c r="C35" s="291"/>
      <c r="D35" s="352"/>
      <c r="E35" s="298"/>
      <c r="F35" s="524"/>
      <c r="G35" s="196"/>
      <c r="H35" s="254"/>
      <c r="I35" s="291"/>
      <c r="J35" s="255"/>
      <c r="K35" s="6"/>
      <c r="L35" s="256"/>
      <c r="M35" s="524"/>
      <c r="N35" s="297"/>
      <c r="O35" s="213"/>
      <c r="P35" s="280"/>
      <c r="Q35" s="17"/>
      <c r="R35" s="17"/>
      <c r="S35" s="525"/>
      <c r="T35" s="1"/>
      <c r="U35" s="2"/>
      <c r="V35" s="1"/>
    </row>
    <row r="36" spans="1:22" x14ac:dyDescent="0.2">
      <c r="A36" s="297"/>
      <c r="B36" s="254"/>
      <c r="C36" s="291"/>
      <c r="D36" s="352"/>
      <c r="E36" s="298"/>
      <c r="F36" s="524"/>
      <c r="G36" s="196"/>
      <c r="H36" s="254"/>
      <c r="I36" s="291"/>
      <c r="J36" s="255"/>
      <c r="K36" s="6"/>
      <c r="L36" s="256"/>
      <c r="M36" s="524"/>
      <c r="N36" s="297"/>
      <c r="O36" s="213"/>
      <c r="P36" s="280"/>
      <c r="Q36" s="17"/>
      <c r="R36" s="17"/>
      <c r="S36" s="525"/>
      <c r="T36" s="1"/>
      <c r="U36" s="1"/>
      <c r="V36" s="1"/>
    </row>
    <row r="37" spans="1:22" x14ac:dyDescent="0.2">
      <c r="A37" s="297"/>
      <c r="B37" s="254"/>
      <c r="C37" s="291"/>
      <c r="D37" s="352"/>
      <c r="E37" s="298"/>
      <c r="F37" s="523"/>
      <c r="G37" s="196"/>
      <c r="H37" s="254"/>
      <c r="I37" s="291"/>
      <c r="J37" s="255"/>
      <c r="K37" s="6"/>
      <c r="L37" s="256"/>
      <c r="M37" s="524"/>
      <c r="N37" s="297"/>
      <c r="O37" s="213"/>
      <c r="P37" s="280"/>
      <c r="Q37" s="17"/>
      <c r="R37" s="17"/>
      <c r="S37" s="525"/>
      <c r="T37" s="1"/>
      <c r="U37" s="1"/>
      <c r="V37" s="1"/>
    </row>
    <row r="38" spans="1:22" x14ac:dyDescent="0.2">
      <c r="A38" s="297"/>
      <c r="B38" s="254"/>
      <c r="C38" s="291"/>
      <c r="D38" s="352"/>
      <c r="E38" s="298"/>
      <c r="F38" s="523"/>
      <c r="G38" s="196"/>
      <c r="H38" s="213"/>
      <c r="I38" s="280"/>
      <c r="J38" s="255"/>
      <c r="K38" s="6"/>
      <c r="L38" s="256"/>
      <c r="M38" s="524"/>
      <c r="N38" s="493"/>
      <c r="O38" s="479"/>
      <c r="P38" s="472"/>
      <c r="Q38" s="17"/>
      <c r="R38" s="17"/>
      <c r="S38" s="525"/>
      <c r="T38" s="1"/>
      <c r="U38" s="1"/>
      <c r="V38" s="1"/>
    </row>
    <row r="39" spans="1:22" x14ac:dyDescent="0.2">
      <c r="A39" s="297"/>
      <c r="B39" s="314"/>
      <c r="C39" s="291"/>
      <c r="D39" s="352"/>
      <c r="E39" s="298"/>
      <c r="F39" s="523"/>
      <c r="G39" s="196"/>
      <c r="H39" s="322"/>
      <c r="I39" s="280"/>
      <c r="J39" s="255"/>
      <c r="K39" s="6"/>
      <c r="L39" s="256"/>
      <c r="M39" s="524"/>
      <c r="N39" s="494"/>
      <c r="O39" s="213"/>
      <c r="P39" s="280"/>
      <c r="Q39" s="17"/>
      <c r="R39" s="17"/>
      <c r="S39" s="525"/>
      <c r="T39" s="1"/>
      <c r="U39" s="1"/>
      <c r="V39" s="1"/>
    </row>
    <row r="40" spans="1:22" x14ac:dyDescent="0.2">
      <c r="A40" s="527"/>
      <c r="B40" s="528"/>
      <c r="C40" s="529"/>
      <c r="D40" s="352"/>
      <c r="E40" s="298"/>
      <c r="F40" s="523"/>
      <c r="G40" s="157"/>
      <c r="H40" s="322"/>
      <c r="I40" s="280"/>
      <c r="J40" s="255"/>
      <c r="K40" s="6"/>
      <c r="L40" s="256"/>
      <c r="M40" s="524"/>
      <c r="N40" s="307"/>
      <c r="O40" s="321"/>
      <c r="P40" s="292"/>
      <c r="Q40" s="17"/>
      <c r="R40" s="17"/>
      <c r="S40" s="525"/>
      <c r="T40" s="1"/>
      <c r="U40" s="1"/>
      <c r="V40" s="1"/>
    </row>
    <row r="41" spans="1:22" x14ac:dyDescent="0.2">
      <c r="A41" s="530"/>
      <c r="B41" s="314"/>
      <c r="C41" s="291"/>
      <c r="D41" s="352"/>
      <c r="E41" s="298"/>
      <c r="F41" s="523"/>
      <c r="G41" s="468"/>
      <c r="H41" s="322"/>
      <c r="I41" s="280"/>
      <c r="J41" s="255"/>
      <c r="K41" s="6"/>
      <c r="L41" s="256"/>
      <c r="M41" s="524"/>
      <c r="N41" s="307"/>
      <c r="O41" s="321"/>
      <c r="P41" s="292"/>
      <c r="Q41" s="17"/>
      <c r="R41" s="17"/>
      <c r="S41" s="525"/>
      <c r="T41" s="1"/>
      <c r="U41" s="1"/>
      <c r="V41" s="1"/>
    </row>
    <row r="42" spans="1:22" x14ac:dyDescent="0.2">
      <c r="A42" s="531"/>
      <c r="B42" s="528"/>
      <c r="C42" s="529"/>
      <c r="D42" s="532"/>
      <c r="E42" s="533"/>
      <c r="F42" s="523"/>
      <c r="G42" s="319"/>
      <c r="H42" s="314"/>
      <c r="I42" s="291"/>
      <c r="J42" s="255"/>
      <c r="K42" s="6"/>
      <c r="L42" s="256"/>
      <c r="M42" s="524"/>
      <c r="N42" s="307"/>
      <c r="O42" s="321"/>
      <c r="P42" s="292"/>
      <c r="Q42" s="17"/>
      <c r="R42" s="17"/>
      <c r="S42" s="525"/>
      <c r="T42" s="1"/>
      <c r="U42" s="1"/>
      <c r="V42" s="1"/>
    </row>
    <row r="43" spans="1:22" x14ac:dyDescent="0.2">
      <c r="A43" s="534"/>
      <c r="B43" s="535"/>
      <c r="C43" s="536"/>
      <c r="D43" s="532"/>
      <c r="E43" s="533"/>
      <c r="F43" s="523"/>
      <c r="G43" s="537"/>
      <c r="H43" s="314"/>
      <c r="I43" s="291"/>
      <c r="J43" s="255"/>
      <c r="K43" s="6"/>
      <c r="L43" s="256"/>
      <c r="M43" s="524"/>
      <c r="N43" s="538"/>
      <c r="O43" s="539"/>
      <c r="P43" s="540"/>
      <c r="Q43" s="541"/>
      <c r="R43" s="541"/>
      <c r="S43" s="542"/>
      <c r="T43" s="1"/>
      <c r="U43" s="1"/>
      <c r="V43" s="1"/>
    </row>
    <row r="44" spans="1:22" x14ac:dyDescent="0.2">
      <c r="A44" s="543"/>
      <c r="B44" s="544"/>
      <c r="C44" s="545"/>
      <c r="D44" s="544"/>
      <c r="E44" s="546"/>
      <c r="F44" s="547"/>
      <c r="G44" s="537"/>
      <c r="H44" s="314"/>
      <c r="I44" s="291"/>
      <c r="J44" s="255"/>
      <c r="K44" s="548"/>
      <c r="L44" s="549"/>
      <c r="M44" s="524"/>
      <c r="N44" s="543"/>
      <c r="O44" s="550"/>
      <c r="P44" s="551"/>
      <c r="Q44" s="544"/>
      <c r="R44" s="544"/>
      <c r="S44" s="552"/>
      <c r="T44" s="65">
        <f>O44-T31</f>
        <v>0</v>
      </c>
      <c r="U44" s="1"/>
      <c r="V44" s="1"/>
    </row>
    <row r="45" spans="1:22" ht="15.75" thickBot="1" x14ac:dyDescent="0.25">
      <c r="A45" s="299"/>
      <c r="B45" s="300"/>
      <c r="C45" s="301"/>
      <c r="D45" s="302"/>
      <c r="E45" s="313"/>
      <c r="F45" s="1"/>
      <c r="G45" s="257"/>
      <c r="H45" s="258"/>
      <c r="I45" s="293"/>
      <c r="J45" s="320"/>
      <c r="K45" s="260"/>
      <c r="L45" s="259"/>
      <c r="M45" s="1"/>
      <c r="N45" s="299"/>
      <c r="O45" s="302"/>
      <c r="P45" s="309"/>
      <c r="Q45" s="302"/>
      <c r="R45" s="302"/>
      <c r="S45" s="303"/>
      <c r="T45" s="2"/>
      <c r="U45" s="1"/>
      <c r="V45" s="1"/>
    </row>
    <row r="46" spans="1:22" x14ac:dyDescent="0.2">
      <c r="B46" s="44"/>
      <c r="H46" s="44"/>
      <c r="O46" s="44"/>
    </row>
    <row r="47" spans="1:22" x14ac:dyDescent="0.2">
      <c r="A47" s="310" t="s">
        <v>40</v>
      </c>
      <c r="B47" s="44">
        <f>SUM(B26:B46)</f>
        <v>0</v>
      </c>
      <c r="G47" s="310" t="s">
        <v>40</v>
      </c>
      <c r="H47" s="44">
        <f>SUM(H26:H46)</f>
        <v>0</v>
      </c>
      <c r="N47" s="310" t="s">
        <v>40</v>
      </c>
      <c r="O47" s="44">
        <f>SUM(O26:O46)</f>
        <v>0</v>
      </c>
    </row>
    <row r="48" spans="1:22" x14ac:dyDescent="0.2">
      <c r="H48" s="44"/>
    </row>
    <row r="50" spans="7:8" x14ac:dyDescent="0.2">
      <c r="G50" s="40" t="s">
        <v>27</v>
      </c>
      <c r="H50" s="41"/>
    </row>
  </sheetData>
  <sortState xmlns:xlrd2="http://schemas.microsoft.com/office/spreadsheetml/2017/richdata2" ref="A2:B16">
    <sortCondition ref="A2:A16"/>
  </sortState>
  <mergeCells count="4">
    <mergeCell ref="O2:P2"/>
    <mergeCell ref="A24:E24"/>
    <mergeCell ref="G24:K24"/>
    <mergeCell ref="N24:R24"/>
  </mergeCells>
  <conditionalFormatting sqref="D16">
    <cfRule type="iconSet" priority="1">
      <iconSet showValue="0">
        <cfvo type="percent" val="0"/>
        <cfvo type="num" val="0" gte="0"/>
        <cfvo type="num" val="2"/>
      </iconSet>
    </cfRule>
    <cfRule type="iconSet" priority="2">
      <iconSet showValue="0">
        <cfvo type="percent" val="0"/>
        <cfvo type="num" val="0"/>
        <cfvo type="num" val="2"/>
      </iconSe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7768EAD1-75BF-E74C-9A52-7680ABC862F9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TrafficLights1" iconId="1"/>
              <x14:cfIcon iconSet="4RedToBlack" iconId="3"/>
              <x14:cfIcon iconSet="3Symbols" iconId="2"/>
            </x14:iconSet>
          </x14:cfRule>
          <x14:cfRule type="iconSet" priority="4" id="{7C12B2E1-CCB6-7F47-925E-7A9A12D49C1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D16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9D6D-E131-A943-ACB7-B964943623A9}">
  <sheetPr>
    <tabColor theme="0"/>
  </sheetPr>
  <dimension ref="A1:V50"/>
  <sheetViews>
    <sheetView topLeftCell="A7" zoomScale="82" zoomScaleNormal="150" zoomScaleSheetLayoutView="100" workbookViewId="0">
      <selection activeCell="F28" sqref="F28"/>
    </sheetView>
  </sheetViews>
  <sheetFormatPr defaultColWidth="8.875" defaultRowHeight="15" x14ac:dyDescent="0.2"/>
  <cols>
    <col min="1" max="1" width="14.125" bestFit="1" customWidth="1"/>
    <col min="2" max="2" width="19.1015625" customWidth="1"/>
    <col min="3" max="3" width="15.33203125" style="152" customWidth="1"/>
    <col min="4" max="4" width="10.22265625" bestFit="1" customWidth="1"/>
    <col min="5" max="5" width="11.703125" bestFit="1" customWidth="1"/>
    <col min="6" max="6" width="28.515625" customWidth="1"/>
    <col min="7" max="7" width="15.46875" customWidth="1"/>
    <col min="8" max="8" width="11.56640625" bestFit="1" customWidth="1"/>
    <col min="9" max="9" width="10.22265625" customWidth="1"/>
    <col min="10" max="11" width="8.47265625" bestFit="1" customWidth="1"/>
    <col min="12" max="12" width="11.02734375" bestFit="1" customWidth="1"/>
    <col min="13" max="13" width="8.47265625" bestFit="1" customWidth="1"/>
    <col min="14" max="14" width="14.125" bestFit="1" customWidth="1"/>
    <col min="15" max="15" width="11.296875" bestFit="1" customWidth="1"/>
    <col min="16" max="16" width="10.0859375" customWidth="1"/>
    <col min="17" max="18" width="8.47265625" bestFit="1" customWidth="1"/>
    <col min="19" max="19" width="19.37109375" customWidth="1"/>
    <col min="20" max="20" width="10.0859375" bestFit="1" customWidth="1"/>
    <col min="21" max="21" width="9.4140625" bestFit="1" customWidth="1"/>
  </cols>
  <sheetData>
    <row r="1" spans="1:22" x14ac:dyDescent="0.2">
      <c r="A1" s="338" t="s">
        <v>0</v>
      </c>
      <c r="B1" s="339" t="s">
        <v>1</v>
      </c>
      <c r="C1" s="340" t="s">
        <v>2</v>
      </c>
      <c r="D1" s="341" t="s">
        <v>3</v>
      </c>
      <c r="E1" s="342" t="s">
        <v>4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1"/>
      <c r="T1" s="81"/>
      <c r="U1" s="81"/>
      <c r="V1" s="81"/>
    </row>
    <row r="2" spans="1:22" x14ac:dyDescent="0.2">
      <c r="A2" s="343" t="s">
        <v>35</v>
      </c>
      <c r="B2" s="324"/>
      <c r="C2" s="288"/>
      <c r="D2" s="364" t="b">
        <v>0</v>
      </c>
      <c r="E2" s="344"/>
      <c r="F2" s="80"/>
      <c r="G2" s="80"/>
      <c r="H2" s="80"/>
      <c r="I2" s="80"/>
      <c r="J2" s="80"/>
      <c r="K2" s="80"/>
      <c r="L2" s="80"/>
      <c r="M2" s="80"/>
      <c r="N2" s="80"/>
      <c r="O2" s="692" t="s">
        <v>7</v>
      </c>
      <c r="P2" s="693"/>
      <c r="Q2" s="80"/>
      <c r="R2" s="80"/>
      <c r="S2" s="81"/>
      <c r="T2" s="81"/>
      <c r="U2" s="81"/>
      <c r="V2" s="81"/>
    </row>
    <row r="3" spans="1:22" x14ac:dyDescent="0.2">
      <c r="A3" s="345" t="s">
        <v>5</v>
      </c>
      <c r="B3" s="324"/>
      <c r="C3" s="288"/>
      <c r="D3" s="364" t="b">
        <v>1</v>
      </c>
      <c r="E3" s="344"/>
      <c r="F3" s="80"/>
      <c r="G3" s="80"/>
      <c r="H3" s="80"/>
      <c r="I3" s="80"/>
      <c r="J3" s="80"/>
      <c r="K3" s="80"/>
      <c r="L3" s="80"/>
      <c r="M3" s="80"/>
      <c r="N3" s="80"/>
      <c r="O3" s="83"/>
      <c r="P3" s="84">
        <v>26</v>
      </c>
      <c r="Q3" s="80"/>
      <c r="R3" s="80"/>
      <c r="S3" s="81"/>
      <c r="T3" s="81"/>
      <c r="U3" s="81"/>
      <c r="V3" s="81"/>
    </row>
    <row r="4" spans="1:22" x14ac:dyDescent="0.2">
      <c r="A4" s="345" t="s">
        <v>9</v>
      </c>
      <c r="B4" s="324"/>
      <c r="C4" s="288"/>
      <c r="D4" s="364" t="b">
        <v>1</v>
      </c>
      <c r="E4" s="344"/>
      <c r="F4" s="80"/>
      <c r="G4" s="80"/>
      <c r="H4" s="80"/>
      <c r="I4" s="80"/>
      <c r="J4" s="80"/>
      <c r="K4" s="80"/>
      <c r="L4" s="80"/>
      <c r="M4" s="80"/>
      <c r="N4" s="80"/>
      <c r="O4" s="85" t="s">
        <v>59</v>
      </c>
      <c r="P4" s="86">
        <v>25</v>
      </c>
      <c r="Q4" s="80"/>
      <c r="R4" s="80"/>
      <c r="S4" s="81"/>
      <c r="T4" s="81"/>
      <c r="U4" s="81"/>
      <c r="V4" s="81"/>
    </row>
    <row r="5" spans="1:22" x14ac:dyDescent="0.2">
      <c r="A5" s="345" t="s">
        <v>12</v>
      </c>
      <c r="B5" s="324"/>
      <c r="C5" s="288"/>
      <c r="D5" s="364" t="b">
        <v>1</v>
      </c>
      <c r="E5" s="344"/>
      <c r="F5" s="80"/>
      <c r="G5" s="80"/>
      <c r="H5" s="80"/>
      <c r="I5" s="80"/>
      <c r="J5" s="80"/>
      <c r="K5" s="80"/>
      <c r="L5" s="80"/>
      <c r="M5" s="80"/>
      <c r="N5" s="80"/>
      <c r="O5" s="85" t="s">
        <v>16</v>
      </c>
      <c r="P5" s="86">
        <v>74</v>
      </c>
      <c r="Q5" s="80"/>
      <c r="R5" s="80"/>
      <c r="S5" s="81"/>
      <c r="T5" s="81"/>
      <c r="U5" s="81"/>
      <c r="V5" s="81"/>
    </row>
    <row r="6" spans="1:22" x14ac:dyDescent="0.2">
      <c r="A6" s="345" t="s">
        <v>17</v>
      </c>
      <c r="B6" s="324"/>
      <c r="C6" s="288"/>
      <c r="D6" s="364" t="b">
        <v>1</v>
      </c>
      <c r="E6" s="344"/>
      <c r="G6" s="80"/>
      <c r="H6" s="80"/>
      <c r="I6" s="80"/>
      <c r="J6" s="80"/>
      <c r="K6" s="80"/>
      <c r="L6" s="80"/>
      <c r="M6" s="80"/>
      <c r="N6" s="80"/>
      <c r="O6" s="85" t="s">
        <v>60</v>
      </c>
      <c r="P6" s="86">
        <v>70</v>
      </c>
      <c r="Q6" s="80"/>
      <c r="R6" s="80"/>
      <c r="S6" s="81"/>
      <c r="T6" s="81"/>
      <c r="U6" s="81"/>
      <c r="V6" s="81"/>
    </row>
    <row r="7" spans="1:22" x14ac:dyDescent="0.2">
      <c r="A7" s="345" t="s">
        <v>38</v>
      </c>
      <c r="B7" s="324"/>
      <c r="C7" s="288"/>
      <c r="D7" s="364" t="b">
        <v>1</v>
      </c>
      <c r="E7" s="344"/>
      <c r="F7" s="80"/>
      <c r="L7" s="80"/>
      <c r="M7" s="80"/>
      <c r="N7" s="80"/>
      <c r="O7" s="85"/>
      <c r="P7" s="86"/>
      <c r="Q7" s="80"/>
      <c r="R7" s="80"/>
      <c r="S7" s="81"/>
      <c r="T7" s="81"/>
      <c r="U7" s="81"/>
      <c r="V7" s="81"/>
    </row>
    <row r="8" spans="1:22" x14ac:dyDescent="0.2">
      <c r="A8" s="345" t="s">
        <v>19</v>
      </c>
      <c r="B8" s="324"/>
      <c r="C8" s="288"/>
      <c r="D8" s="364" t="b">
        <v>1</v>
      </c>
      <c r="E8" s="344"/>
      <c r="F8" s="80"/>
      <c r="L8" s="80"/>
      <c r="M8" s="80"/>
      <c r="N8" s="80"/>
      <c r="O8" s="85"/>
      <c r="P8" s="86"/>
      <c r="Q8" s="80"/>
      <c r="R8" s="80"/>
      <c r="S8" s="81"/>
      <c r="T8" s="81"/>
      <c r="U8" s="81"/>
      <c r="V8" s="81"/>
    </row>
    <row r="9" spans="1:22" x14ac:dyDescent="0.2">
      <c r="A9" s="345" t="s">
        <v>14</v>
      </c>
      <c r="B9" s="324"/>
      <c r="C9" s="288"/>
      <c r="D9" s="364" t="b">
        <v>1</v>
      </c>
      <c r="E9" s="344"/>
      <c r="F9" s="80"/>
      <c r="L9" s="80"/>
      <c r="M9" s="80"/>
      <c r="N9" s="80"/>
      <c r="O9" s="85"/>
      <c r="P9" s="86"/>
      <c r="Q9" s="80"/>
      <c r="R9" s="80"/>
      <c r="S9" s="81"/>
      <c r="T9" s="81"/>
      <c r="U9" s="81"/>
      <c r="V9" s="81"/>
    </row>
    <row r="10" spans="1:22" x14ac:dyDescent="0.2">
      <c r="A10" s="345" t="s">
        <v>15</v>
      </c>
      <c r="B10" s="324"/>
      <c r="C10" s="288"/>
      <c r="D10" s="364" t="b">
        <v>0</v>
      </c>
      <c r="E10" s="344"/>
      <c r="F10" s="80"/>
      <c r="L10" s="80"/>
      <c r="M10" s="80"/>
      <c r="N10" s="80"/>
      <c r="O10" s="85"/>
      <c r="P10" s="86"/>
      <c r="Q10" s="80"/>
      <c r="R10" s="80"/>
      <c r="S10" s="81"/>
      <c r="T10" s="81"/>
      <c r="U10" s="81"/>
      <c r="V10" s="81"/>
    </row>
    <row r="11" spans="1:22" x14ac:dyDescent="0.2">
      <c r="A11" s="345" t="s">
        <v>8</v>
      </c>
      <c r="B11" s="324"/>
      <c r="C11" s="288"/>
      <c r="D11" s="364" t="b">
        <v>1</v>
      </c>
      <c r="E11" s="344"/>
      <c r="L11" s="80"/>
      <c r="M11" s="80"/>
      <c r="N11" s="80"/>
      <c r="O11" s="85"/>
      <c r="P11" s="86"/>
      <c r="Q11" s="80"/>
      <c r="R11" s="80"/>
      <c r="S11" s="81"/>
      <c r="T11" s="81"/>
      <c r="U11" s="81"/>
      <c r="V11" s="81"/>
    </row>
    <row r="12" spans="1:22" x14ac:dyDescent="0.2">
      <c r="A12" s="345" t="s">
        <v>11</v>
      </c>
      <c r="B12" s="324"/>
      <c r="C12" s="288"/>
      <c r="D12" s="364" t="b">
        <v>1</v>
      </c>
      <c r="E12" s="344"/>
      <c r="F12" s="365" t="b">
        <v>0</v>
      </c>
      <c r="L12" s="80"/>
      <c r="M12" s="80"/>
      <c r="N12" s="80"/>
      <c r="O12" s="85"/>
      <c r="P12" s="86"/>
      <c r="Q12" s="80"/>
      <c r="R12" s="80"/>
      <c r="S12" s="81"/>
      <c r="T12" s="81"/>
      <c r="U12" s="81"/>
      <c r="V12" s="81"/>
    </row>
    <row r="13" spans="1:22" x14ac:dyDescent="0.2">
      <c r="A13" s="345" t="s">
        <v>10</v>
      </c>
      <c r="B13" s="324"/>
      <c r="C13" s="288"/>
      <c r="D13" s="364" t="b">
        <v>1</v>
      </c>
      <c r="E13" s="344"/>
      <c r="F13" s="80"/>
      <c r="L13" s="80"/>
      <c r="M13" s="80"/>
      <c r="N13" s="80"/>
      <c r="O13" s="85"/>
      <c r="P13" s="86"/>
      <c r="Q13" s="80"/>
      <c r="R13" s="80"/>
      <c r="S13" s="81"/>
      <c r="T13" s="81"/>
      <c r="U13" s="81"/>
      <c r="V13" s="81"/>
    </row>
    <row r="14" spans="1:22" x14ac:dyDescent="0.2">
      <c r="A14" s="345" t="s">
        <v>18</v>
      </c>
      <c r="B14" s="324"/>
      <c r="C14" s="288"/>
      <c r="D14" s="364" t="b">
        <v>1</v>
      </c>
      <c r="E14" s="344"/>
      <c r="F14" s="80"/>
      <c r="L14" s="80"/>
      <c r="M14" s="80"/>
      <c r="N14" s="80"/>
      <c r="O14" s="85"/>
      <c r="P14" s="86"/>
      <c r="Q14" s="80"/>
      <c r="R14" s="80"/>
      <c r="S14" s="81"/>
      <c r="T14" s="81"/>
      <c r="U14" s="81"/>
      <c r="V14" s="81"/>
    </row>
    <row r="15" spans="1:22" x14ac:dyDescent="0.2">
      <c r="A15" s="346" t="s">
        <v>13</v>
      </c>
      <c r="B15" s="324"/>
      <c r="C15" s="288"/>
      <c r="D15" s="364" t="b">
        <v>1</v>
      </c>
      <c r="E15" s="344"/>
      <c r="F15" s="80"/>
      <c r="L15" s="80"/>
      <c r="M15" s="80"/>
      <c r="N15" s="80"/>
      <c r="O15" s="85"/>
      <c r="P15" s="86">
        <f>SUM(P3:P14)</f>
        <v>195</v>
      </c>
      <c r="Q15" s="80"/>
      <c r="R15" s="80"/>
      <c r="S15" s="81"/>
      <c r="T15" s="81"/>
      <c r="U15" s="81"/>
      <c r="V15" s="81"/>
    </row>
    <row r="16" spans="1:22" ht="15.75" thickBot="1" x14ac:dyDescent="0.25">
      <c r="A16" s="347"/>
      <c r="B16" s="348"/>
      <c r="C16" s="349"/>
      <c r="D16" s="350"/>
      <c r="E16" s="351"/>
      <c r="L16" s="80"/>
      <c r="M16" s="80"/>
      <c r="N16" s="80"/>
      <c r="O16" s="80"/>
      <c r="P16" s="80"/>
      <c r="Q16" s="80"/>
      <c r="R16" s="80"/>
      <c r="S16" s="81"/>
      <c r="T16" s="81"/>
      <c r="U16" s="81"/>
      <c r="V16" s="81"/>
    </row>
    <row r="17" spans="1:22" x14ac:dyDescent="0.2">
      <c r="A17" s="8"/>
      <c r="B17" s="8"/>
      <c r="C17" s="8"/>
      <c r="E17" s="8"/>
      <c r="F17" s="80"/>
      <c r="L17" s="80"/>
      <c r="M17" s="80"/>
      <c r="N17" s="80"/>
      <c r="O17" s="80"/>
      <c r="P17" s="80"/>
      <c r="Q17" s="80"/>
      <c r="R17" s="80"/>
      <c r="S17" s="81"/>
      <c r="T17" s="81"/>
      <c r="U17" s="81"/>
      <c r="V17" s="81"/>
    </row>
    <row r="18" spans="1:22" x14ac:dyDescent="0.2">
      <c r="A18" s="8"/>
      <c r="B18" s="14">
        <f>SUM(B2:B17)</f>
        <v>0</v>
      </c>
      <c r="C18" s="8"/>
      <c r="D18" s="143"/>
      <c r="E18" s="14">
        <f>SUM(E2:E17)</f>
        <v>0</v>
      </c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1"/>
      <c r="T18" s="81"/>
      <c r="U18" s="81"/>
      <c r="V18" s="81"/>
    </row>
    <row r="19" spans="1:22" x14ac:dyDescent="0.2">
      <c r="A19" s="8"/>
      <c r="B19" s="8"/>
      <c r="C19" s="8"/>
      <c r="D19" s="143"/>
      <c r="E19" s="8"/>
      <c r="F19" s="115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1"/>
      <c r="T19" s="81"/>
      <c r="U19" s="81"/>
      <c r="V19" s="81"/>
    </row>
    <row r="20" spans="1:22" x14ac:dyDescent="0.2">
      <c r="A20" s="8"/>
      <c r="B20" s="8"/>
      <c r="C20" s="8"/>
      <c r="D20" s="143"/>
      <c r="E20" s="8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1"/>
      <c r="T20" s="81"/>
      <c r="U20" s="81"/>
      <c r="V20" s="81"/>
    </row>
    <row r="21" spans="1:22" x14ac:dyDescent="0.2">
      <c r="A21" s="8"/>
      <c r="B21" s="8"/>
      <c r="C21" s="8"/>
      <c r="D21" s="143"/>
      <c r="E21" s="8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  <c r="T21" s="81"/>
      <c r="U21" s="81"/>
      <c r="V21" s="81"/>
    </row>
    <row r="22" spans="1:22" x14ac:dyDescent="0.2">
      <c r="A22" s="8"/>
      <c r="B22" s="8"/>
      <c r="C22" s="8"/>
      <c r="D22" s="143"/>
      <c r="E22" s="8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1"/>
      <c r="T22" s="81"/>
      <c r="U22" s="81"/>
      <c r="V22" s="81"/>
    </row>
    <row r="23" spans="1:22" ht="15.75" thickBot="1" x14ac:dyDescent="0.25">
      <c r="A23" s="8"/>
      <c r="B23" s="8"/>
      <c r="C23" s="8"/>
      <c r="D23" s="143"/>
      <c r="E23" s="8"/>
      <c r="F23" s="80"/>
      <c r="G23" s="80"/>
      <c r="H23" s="80"/>
      <c r="I23" s="80"/>
      <c r="J23" s="80"/>
      <c r="K23" s="80"/>
      <c r="L23" s="80"/>
      <c r="M23" s="89"/>
      <c r="N23" s="80"/>
      <c r="O23" s="80"/>
      <c r="P23" s="80"/>
      <c r="Q23" s="80"/>
      <c r="R23" s="80"/>
      <c r="S23" s="81"/>
      <c r="T23" s="81"/>
      <c r="U23" s="81"/>
      <c r="V23" s="81"/>
    </row>
    <row r="24" spans="1:22" x14ac:dyDescent="0.2">
      <c r="A24" s="715" t="s">
        <v>30</v>
      </c>
      <c r="B24" s="716"/>
      <c r="C24" s="716"/>
      <c r="D24" s="716"/>
      <c r="E24" s="717"/>
      <c r="F24" s="80"/>
      <c r="G24" s="702" t="s">
        <v>20</v>
      </c>
      <c r="H24" s="703"/>
      <c r="I24" s="703"/>
      <c r="J24" s="703"/>
      <c r="K24" s="704"/>
      <c r="L24" s="220" t="s">
        <v>21</v>
      </c>
      <c r="M24" s="91"/>
      <c r="N24" s="718" t="s">
        <v>22</v>
      </c>
      <c r="O24" s="719"/>
      <c r="P24" s="719"/>
      <c r="Q24" s="719"/>
      <c r="R24" s="719"/>
      <c r="S24" s="325" t="s">
        <v>21</v>
      </c>
      <c r="T24" s="81"/>
      <c r="U24" s="81"/>
      <c r="V24" s="81"/>
    </row>
    <row r="25" spans="1:22" ht="15" customHeight="1" x14ac:dyDescent="0.2">
      <c r="A25" s="326" t="s">
        <v>24</v>
      </c>
      <c r="B25" s="125" t="s">
        <v>1</v>
      </c>
      <c r="C25" s="125" t="s">
        <v>2</v>
      </c>
      <c r="D25" s="144" t="s">
        <v>25</v>
      </c>
      <c r="E25" s="327"/>
      <c r="F25" s="80"/>
      <c r="G25" s="328" t="s">
        <v>24</v>
      </c>
      <c r="H25" s="329" t="s">
        <v>1</v>
      </c>
      <c r="I25" s="329" t="s">
        <v>2</v>
      </c>
      <c r="J25" s="329" t="s">
        <v>25</v>
      </c>
      <c r="K25" s="329" t="s">
        <v>3</v>
      </c>
      <c r="L25" s="330"/>
      <c r="M25" s="91"/>
      <c r="N25" s="331" t="s">
        <v>24</v>
      </c>
      <c r="O25" s="94" t="s">
        <v>1</v>
      </c>
      <c r="P25" s="94" t="s">
        <v>2</v>
      </c>
      <c r="Q25" s="94" t="s">
        <v>25</v>
      </c>
      <c r="R25" s="94" t="s">
        <v>6</v>
      </c>
      <c r="S25" s="332"/>
      <c r="T25" s="81"/>
      <c r="U25" s="81"/>
      <c r="V25" s="81"/>
    </row>
    <row r="26" spans="1:22" x14ac:dyDescent="0.2">
      <c r="A26" s="433"/>
      <c r="B26" s="213"/>
      <c r="C26" s="280"/>
      <c r="D26" s="203"/>
      <c r="E26" s="336"/>
      <c r="F26" s="441"/>
      <c r="G26" s="297"/>
      <c r="H26" s="214"/>
      <c r="I26" s="315"/>
      <c r="J26" s="197"/>
      <c r="K26" s="160"/>
      <c r="L26" s="235"/>
      <c r="M26" s="443"/>
      <c r="N26" s="333"/>
      <c r="O26" s="334"/>
      <c r="P26" s="279"/>
      <c r="Q26" s="105"/>
      <c r="R26" s="105"/>
      <c r="S26" s="489"/>
      <c r="T26" s="81"/>
      <c r="U26" s="81"/>
      <c r="V26" s="81"/>
    </row>
    <row r="27" spans="1:22" x14ac:dyDescent="0.2">
      <c r="A27" s="297"/>
      <c r="B27" s="214"/>
      <c r="C27" s="315"/>
      <c r="D27" s="197"/>
      <c r="E27" s="434"/>
      <c r="F27" s="441"/>
      <c r="G27" s="333"/>
      <c r="H27" s="334"/>
      <c r="I27" s="279"/>
      <c r="J27" s="105"/>
      <c r="K27" s="160"/>
      <c r="L27" s="235"/>
      <c r="M27" s="443"/>
      <c r="N27" s="333"/>
      <c r="O27" s="334"/>
      <c r="P27" s="279"/>
      <c r="Q27" s="105"/>
      <c r="R27" s="105"/>
      <c r="S27" s="489"/>
      <c r="T27" s="81"/>
      <c r="U27" s="81"/>
      <c r="V27" s="81"/>
    </row>
    <row r="28" spans="1:22" x14ac:dyDescent="0.2">
      <c r="A28" s="435"/>
      <c r="B28" s="436"/>
      <c r="C28" s="490"/>
      <c r="D28" s="352"/>
      <c r="E28" s="438"/>
      <c r="F28" s="441"/>
      <c r="G28" s="333"/>
      <c r="H28" s="334"/>
      <c r="I28" s="279"/>
      <c r="J28" s="105"/>
      <c r="K28" s="160"/>
      <c r="L28" s="235"/>
      <c r="M28" s="443"/>
      <c r="N28" s="333"/>
      <c r="O28" s="334"/>
      <c r="P28" s="279"/>
      <c r="Q28" s="105"/>
      <c r="R28" s="105"/>
      <c r="S28" s="489"/>
      <c r="T28" s="81"/>
      <c r="U28" s="81"/>
      <c r="V28" s="81"/>
    </row>
    <row r="29" spans="1:22" x14ac:dyDescent="0.2">
      <c r="A29" s="461"/>
      <c r="B29" s="410"/>
      <c r="C29" s="288"/>
      <c r="D29" s="352"/>
      <c r="E29" s="462"/>
      <c r="F29" s="491"/>
      <c r="G29" s="196"/>
      <c r="H29" s="214"/>
      <c r="I29" s="315"/>
      <c r="J29" s="463"/>
      <c r="K29" s="197"/>
      <c r="L29" s="235"/>
      <c r="M29" s="443"/>
      <c r="N29" s="333"/>
      <c r="O29" s="334"/>
      <c r="P29" s="279"/>
      <c r="Q29" s="105"/>
      <c r="R29" s="105"/>
      <c r="S29" s="489"/>
      <c r="T29" s="81"/>
      <c r="U29" s="81"/>
      <c r="V29" s="81"/>
    </row>
    <row r="30" spans="1:22" x14ac:dyDescent="0.2">
      <c r="A30" s="295"/>
      <c r="B30" s="261"/>
      <c r="C30" s="290"/>
      <c r="D30" s="352"/>
      <c r="E30" s="296"/>
      <c r="F30" s="441"/>
      <c r="G30" s="461"/>
      <c r="H30" s="410"/>
      <c r="I30" s="315"/>
      <c r="J30" s="197"/>
      <c r="K30" s="197"/>
      <c r="L30" s="235"/>
      <c r="M30" s="443"/>
      <c r="N30" s="333"/>
      <c r="O30" s="334"/>
      <c r="P30" s="279"/>
      <c r="Q30" s="105"/>
      <c r="R30" s="105"/>
      <c r="S30" s="335"/>
      <c r="T30" s="109">
        <f>SUM(O26:O28)</f>
        <v>0</v>
      </c>
      <c r="U30" s="81"/>
      <c r="V30" s="81"/>
    </row>
    <row r="31" spans="1:22" ht="16.5" customHeight="1" x14ac:dyDescent="0.2">
      <c r="A31" s="297"/>
      <c r="B31" s="213"/>
      <c r="C31" s="280"/>
      <c r="D31" s="352"/>
      <c r="E31" s="336"/>
      <c r="F31" s="441"/>
      <c r="G31" s="295"/>
      <c r="H31" s="261"/>
      <c r="I31" s="280"/>
      <c r="J31" s="203"/>
      <c r="K31" s="203"/>
      <c r="L31" s="235"/>
      <c r="M31" s="443"/>
      <c r="N31" s="297"/>
      <c r="O31" s="213"/>
      <c r="P31" s="280"/>
      <c r="Q31" s="105"/>
      <c r="R31" s="105"/>
      <c r="S31" s="489"/>
      <c r="T31" s="109"/>
      <c r="U31" s="81"/>
      <c r="V31" s="81"/>
    </row>
    <row r="32" spans="1:22" x14ac:dyDescent="0.2">
      <c r="A32" s="297"/>
      <c r="B32" s="213"/>
      <c r="C32" s="280"/>
      <c r="D32" s="352"/>
      <c r="E32" s="336"/>
      <c r="F32" s="443"/>
      <c r="G32" s="297"/>
      <c r="H32" s="213"/>
      <c r="I32" s="492"/>
      <c r="J32" s="160"/>
      <c r="K32" s="160"/>
      <c r="L32" s="235"/>
      <c r="M32" s="443"/>
      <c r="N32" s="297"/>
      <c r="O32" s="213"/>
      <c r="P32" s="280"/>
      <c r="Q32" s="105"/>
      <c r="R32" s="105"/>
      <c r="S32" s="489"/>
      <c r="T32" s="81"/>
      <c r="U32" s="81"/>
      <c r="V32" s="81"/>
    </row>
    <row r="33" spans="1:22" x14ac:dyDescent="0.2">
      <c r="A33" s="297"/>
      <c r="B33" s="213"/>
      <c r="C33" s="280"/>
      <c r="D33" s="352"/>
      <c r="E33" s="336"/>
      <c r="F33" s="447"/>
      <c r="G33" s="196"/>
      <c r="H33" s="213"/>
      <c r="I33" s="280"/>
      <c r="J33" s="203"/>
      <c r="K33" s="160"/>
      <c r="L33" s="235"/>
      <c r="M33" s="443"/>
      <c r="N33" s="297"/>
      <c r="O33" s="213"/>
      <c r="P33" s="280"/>
      <c r="Q33" s="105"/>
      <c r="R33" s="105"/>
      <c r="S33" s="489"/>
      <c r="T33" s="81"/>
      <c r="U33" s="81"/>
      <c r="V33" s="81"/>
    </row>
    <row r="34" spans="1:22" x14ac:dyDescent="0.2">
      <c r="A34" s="297"/>
      <c r="B34" s="213"/>
      <c r="C34" s="280"/>
      <c r="D34" s="352"/>
      <c r="E34" s="336"/>
      <c r="F34" s="443"/>
      <c r="G34" s="196"/>
      <c r="H34" s="213"/>
      <c r="I34" s="280"/>
      <c r="J34" s="203"/>
      <c r="K34" s="160"/>
      <c r="L34" s="235"/>
      <c r="M34" s="443"/>
      <c r="N34" s="297"/>
      <c r="O34" s="213"/>
      <c r="P34" s="280"/>
      <c r="Q34" s="105"/>
      <c r="R34" s="105"/>
      <c r="S34" s="489"/>
      <c r="T34" s="81"/>
      <c r="U34" s="81"/>
      <c r="V34" s="81"/>
    </row>
    <row r="35" spans="1:22" x14ac:dyDescent="0.2">
      <c r="A35" s="297"/>
      <c r="B35" s="213"/>
      <c r="C35" s="280"/>
      <c r="D35" s="352"/>
      <c r="E35" s="336"/>
      <c r="F35" s="443"/>
      <c r="G35" s="196"/>
      <c r="H35" s="213"/>
      <c r="I35" s="280"/>
      <c r="J35" s="203"/>
      <c r="K35" s="160"/>
      <c r="L35" s="235"/>
      <c r="M35" s="443"/>
      <c r="N35" s="297"/>
      <c r="O35" s="213"/>
      <c r="P35" s="280"/>
      <c r="Q35" s="105"/>
      <c r="R35" s="105"/>
      <c r="S35" s="489"/>
      <c r="T35" s="81"/>
      <c r="U35" s="111"/>
      <c r="V35" s="81"/>
    </row>
    <row r="36" spans="1:22" x14ac:dyDescent="0.2">
      <c r="A36" s="297"/>
      <c r="B36" s="213"/>
      <c r="C36" s="280"/>
      <c r="D36" s="352"/>
      <c r="E36" s="336"/>
      <c r="F36" s="443"/>
      <c r="G36" s="196"/>
      <c r="H36" s="213"/>
      <c r="I36" s="280"/>
      <c r="J36" s="203"/>
      <c r="K36" s="160"/>
      <c r="L36" s="235"/>
      <c r="M36" s="443"/>
      <c r="N36" s="297"/>
      <c r="O36" s="213"/>
      <c r="P36" s="280"/>
      <c r="Q36" s="105"/>
      <c r="R36" s="105"/>
      <c r="S36" s="489"/>
      <c r="T36" s="81"/>
      <c r="U36" s="81"/>
      <c r="V36" s="81"/>
    </row>
    <row r="37" spans="1:22" x14ac:dyDescent="0.2">
      <c r="A37" s="297"/>
      <c r="B37" s="213"/>
      <c r="C37" s="280"/>
      <c r="D37" s="352"/>
      <c r="E37" s="336"/>
      <c r="F37" s="441"/>
      <c r="G37" s="196"/>
      <c r="H37" s="213"/>
      <c r="I37" s="280"/>
      <c r="J37" s="203"/>
      <c r="K37" s="160"/>
      <c r="L37" s="235"/>
      <c r="M37" s="443"/>
      <c r="N37" s="297"/>
      <c r="O37" s="213"/>
      <c r="P37" s="280"/>
      <c r="Q37" s="105"/>
      <c r="R37" s="105"/>
      <c r="S37" s="489"/>
      <c r="T37" s="81"/>
      <c r="U37" s="81"/>
      <c r="V37" s="81"/>
    </row>
    <row r="38" spans="1:22" x14ac:dyDescent="0.2">
      <c r="A38" s="297"/>
      <c r="B38" s="213"/>
      <c r="C38" s="280"/>
      <c r="D38" s="352"/>
      <c r="E38" s="336"/>
      <c r="F38" s="441"/>
      <c r="G38" s="196"/>
      <c r="H38" s="213"/>
      <c r="I38" s="280"/>
      <c r="J38" s="203"/>
      <c r="K38" s="160"/>
      <c r="L38" s="235"/>
      <c r="M38" s="443"/>
      <c r="N38" s="493"/>
      <c r="O38" s="479"/>
      <c r="P38" s="472"/>
      <c r="Q38" s="105"/>
      <c r="R38" s="105"/>
      <c r="S38" s="489"/>
      <c r="T38" s="81"/>
      <c r="U38" s="81"/>
      <c r="V38" s="81"/>
    </row>
    <row r="39" spans="1:22" x14ac:dyDescent="0.2">
      <c r="A39" s="297"/>
      <c r="B39" s="322"/>
      <c r="C39" s="280"/>
      <c r="D39" s="352"/>
      <c r="E39" s="336"/>
      <c r="F39" s="441"/>
      <c r="G39" s="196"/>
      <c r="H39" s="322"/>
      <c r="I39" s="280"/>
      <c r="J39" s="203"/>
      <c r="K39" s="160"/>
      <c r="L39" s="235"/>
      <c r="M39" s="443"/>
      <c r="N39" s="494"/>
      <c r="O39" s="213"/>
      <c r="P39" s="280"/>
      <c r="Q39" s="105"/>
      <c r="R39" s="105"/>
      <c r="S39" s="489"/>
      <c r="T39" s="81"/>
      <c r="U39" s="81"/>
      <c r="V39" s="81"/>
    </row>
    <row r="40" spans="1:22" x14ac:dyDescent="0.2">
      <c r="A40" s="493"/>
      <c r="B40" s="465"/>
      <c r="C40" s="472"/>
      <c r="D40" s="352"/>
      <c r="E40" s="336"/>
      <c r="F40" s="441"/>
      <c r="G40" s="157"/>
      <c r="H40" s="322"/>
      <c r="I40" s="280"/>
      <c r="J40" s="203"/>
      <c r="K40" s="160"/>
      <c r="L40" s="235"/>
      <c r="M40" s="443"/>
      <c r="N40" s="333"/>
      <c r="O40" s="334"/>
      <c r="P40" s="279"/>
      <c r="Q40" s="105"/>
      <c r="R40" s="105"/>
      <c r="S40" s="489"/>
      <c r="T40" s="81"/>
      <c r="U40" s="81"/>
      <c r="V40" s="81"/>
    </row>
    <row r="41" spans="1:22" x14ac:dyDescent="0.2">
      <c r="A41" s="494"/>
      <c r="B41" s="322"/>
      <c r="C41" s="280"/>
      <c r="D41" s="352"/>
      <c r="E41" s="336"/>
      <c r="F41" s="441"/>
      <c r="G41" s="468"/>
      <c r="H41" s="322"/>
      <c r="I41" s="280"/>
      <c r="J41" s="203"/>
      <c r="K41" s="160"/>
      <c r="L41" s="235"/>
      <c r="M41" s="443"/>
      <c r="N41" s="333"/>
      <c r="O41" s="334"/>
      <c r="P41" s="279"/>
      <c r="Q41" s="105"/>
      <c r="R41" s="105"/>
      <c r="S41" s="489"/>
      <c r="T41" s="81"/>
      <c r="U41" s="81"/>
      <c r="V41" s="81"/>
    </row>
    <row r="42" spans="1:22" x14ac:dyDescent="0.2">
      <c r="A42" s="495"/>
      <c r="B42" s="465"/>
      <c r="C42" s="472"/>
      <c r="D42" s="467"/>
      <c r="E42" s="496"/>
      <c r="F42" s="441"/>
      <c r="G42" s="157"/>
      <c r="H42" s="322"/>
      <c r="I42" s="280"/>
      <c r="J42" s="203"/>
      <c r="K42" s="160"/>
      <c r="L42" s="235"/>
      <c r="M42" s="443"/>
      <c r="N42" s="333"/>
      <c r="O42" s="334"/>
      <c r="P42" s="279"/>
      <c r="Q42" s="105"/>
      <c r="R42" s="105"/>
      <c r="S42" s="489"/>
      <c r="T42" s="81"/>
      <c r="U42" s="81"/>
      <c r="V42" s="81"/>
    </row>
    <row r="43" spans="1:22" x14ac:dyDescent="0.2">
      <c r="A43" s="497"/>
      <c r="B43" s="479"/>
      <c r="C43" s="498"/>
      <c r="D43" s="467"/>
      <c r="E43" s="496"/>
      <c r="F43" s="441"/>
      <c r="G43" s="468"/>
      <c r="H43" s="322"/>
      <c r="I43" s="280"/>
      <c r="J43" s="203"/>
      <c r="K43" s="160"/>
      <c r="L43" s="235"/>
      <c r="M43" s="443"/>
      <c r="N43" s="499"/>
      <c r="O43" s="500"/>
      <c r="P43" s="501"/>
      <c r="Q43" s="234"/>
      <c r="R43" s="234"/>
      <c r="S43" s="502"/>
      <c r="T43" s="81"/>
      <c r="U43" s="81"/>
      <c r="V43" s="81"/>
    </row>
    <row r="44" spans="1:22" x14ac:dyDescent="0.2">
      <c r="A44" s="503"/>
      <c r="B44" s="504"/>
      <c r="C44" s="505"/>
      <c r="D44" s="504"/>
      <c r="E44" s="506"/>
      <c r="F44" s="507"/>
      <c r="G44" s="468"/>
      <c r="H44" s="322"/>
      <c r="I44" s="280"/>
      <c r="J44" s="203"/>
      <c r="K44" s="508"/>
      <c r="L44" s="509"/>
      <c r="M44" s="443"/>
      <c r="N44" s="503"/>
      <c r="O44" s="510"/>
      <c r="P44" s="511"/>
      <c r="Q44" s="504"/>
      <c r="R44" s="504"/>
      <c r="S44" s="512"/>
      <c r="T44" s="123">
        <f>O44-T31</f>
        <v>0</v>
      </c>
      <c r="U44" s="81"/>
      <c r="V44" s="81"/>
    </row>
    <row r="45" spans="1:22" ht="15.75" thickBot="1" x14ac:dyDescent="0.25">
      <c r="A45" s="513"/>
      <c r="B45" s="514"/>
      <c r="C45" s="515"/>
      <c r="D45" s="516"/>
      <c r="E45" s="517"/>
      <c r="F45" s="507"/>
      <c r="G45" s="474"/>
      <c r="H45" s="475"/>
      <c r="I45" s="518"/>
      <c r="J45" s="476"/>
      <c r="K45" s="519"/>
      <c r="L45" s="477"/>
      <c r="M45" s="507"/>
      <c r="N45" s="513"/>
      <c r="O45" s="516"/>
      <c r="P45" s="520"/>
      <c r="Q45" s="516"/>
      <c r="R45" s="516"/>
      <c r="S45" s="521"/>
      <c r="T45" s="111"/>
      <c r="U45" s="81"/>
      <c r="V45" s="81"/>
    </row>
    <row r="46" spans="1:22" x14ac:dyDescent="0.2">
      <c r="B46" s="44"/>
      <c r="H46" s="44"/>
      <c r="O46" s="44"/>
    </row>
    <row r="47" spans="1:22" x14ac:dyDescent="0.2">
      <c r="A47" s="310" t="s">
        <v>40</v>
      </c>
      <c r="B47" s="44">
        <f>SUM(B26:B46)</f>
        <v>0</v>
      </c>
      <c r="G47" s="310" t="s">
        <v>40</v>
      </c>
      <c r="H47" s="44">
        <f>SUM(H26:H46)</f>
        <v>0</v>
      </c>
      <c r="N47" s="310" t="s">
        <v>40</v>
      </c>
      <c r="O47" s="44">
        <f>SUM(O28:O46)</f>
        <v>0</v>
      </c>
    </row>
    <row r="48" spans="1:22" x14ac:dyDescent="0.2">
      <c r="H48" s="44"/>
    </row>
    <row r="50" spans="7:8" x14ac:dyDescent="0.2">
      <c r="G50" s="40" t="s">
        <v>27</v>
      </c>
      <c r="H50" s="41">
        <f>H47-O47</f>
        <v>0</v>
      </c>
    </row>
  </sheetData>
  <mergeCells count="4">
    <mergeCell ref="O2:P2"/>
    <mergeCell ref="A24:E24"/>
    <mergeCell ref="G24:K24"/>
    <mergeCell ref="N24:R24"/>
  </mergeCells>
  <conditionalFormatting sqref="D16">
    <cfRule type="iconSet" priority="1">
      <iconSet showValue="0">
        <cfvo type="percent" val="0"/>
        <cfvo type="num" val="0" gte="0"/>
        <cfvo type="num" val="2"/>
      </iconSet>
    </cfRule>
    <cfRule type="iconSet" priority="2">
      <iconSet showValue="0">
        <cfvo type="percent" val="0"/>
        <cfvo type="num" val="0"/>
        <cfvo type="num" val="2"/>
      </iconSe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A623537B-22DA-9242-B563-EE0796E36140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TrafficLights1" iconId="1"/>
              <x14:cfIcon iconSet="4RedToBlack" iconId="3"/>
              <x14:cfIcon iconSet="3Symbols" iconId="2"/>
            </x14:iconSet>
          </x14:cfRule>
          <x14:cfRule type="iconSet" priority="4" id="{556534B3-A820-3242-97A1-BF3269FD66D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D16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082F-A888-5642-8EF8-A80C7D6336CB}">
  <dimension ref="A1:V50"/>
  <sheetViews>
    <sheetView topLeftCell="A11" zoomScaleNormal="150" zoomScaleSheetLayoutView="100" workbookViewId="0">
      <selection activeCell="E53" sqref="E53"/>
    </sheetView>
  </sheetViews>
  <sheetFormatPr defaultColWidth="8.875" defaultRowHeight="15" x14ac:dyDescent="0.2"/>
  <cols>
    <col min="1" max="1" width="14.125" bestFit="1" customWidth="1"/>
    <col min="2" max="2" width="19.1015625" customWidth="1"/>
    <col min="3" max="3" width="21.7890625" style="152" bestFit="1" customWidth="1"/>
    <col min="4" max="4" width="8.47265625" bestFit="1" customWidth="1"/>
    <col min="5" max="5" width="17.21875" customWidth="1"/>
    <col min="6" max="6" width="28.515625" customWidth="1"/>
    <col min="7" max="7" width="15.46875" customWidth="1"/>
    <col min="8" max="8" width="11.56640625" bestFit="1" customWidth="1"/>
    <col min="9" max="9" width="11.97265625" customWidth="1"/>
    <col min="10" max="10" width="8.47265625" bestFit="1" customWidth="1"/>
    <col min="11" max="11" width="10.0859375" bestFit="1" customWidth="1"/>
    <col min="12" max="12" width="11.02734375" bestFit="1" customWidth="1"/>
    <col min="13" max="13" width="8.47265625" bestFit="1" customWidth="1"/>
    <col min="14" max="14" width="14.125" bestFit="1" customWidth="1"/>
    <col min="15" max="15" width="11.296875" bestFit="1" customWidth="1"/>
    <col min="16" max="16" width="13.1796875" customWidth="1"/>
    <col min="17" max="18" width="8.47265625" bestFit="1" customWidth="1"/>
    <col min="19" max="19" width="19.37109375" customWidth="1"/>
    <col min="20" max="20" width="10.0859375" bestFit="1" customWidth="1"/>
    <col min="21" max="21" width="9.4140625" bestFit="1" customWidth="1"/>
  </cols>
  <sheetData>
    <row r="1" spans="1:22" ht="15.75" thickBot="1" x14ac:dyDescent="0.25">
      <c r="A1" s="354" t="s">
        <v>0</v>
      </c>
      <c r="B1" s="355" t="s">
        <v>1</v>
      </c>
      <c r="C1" s="237" t="s">
        <v>2</v>
      </c>
      <c r="D1" s="243" t="s">
        <v>3</v>
      </c>
      <c r="E1" s="244" t="s">
        <v>4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1"/>
      <c r="T1" s="81"/>
      <c r="U1" s="81"/>
      <c r="V1" s="81"/>
    </row>
    <row r="2" spans="1:22" x14ac:dyDescent="0.2">
      <c r="A2" s="356" t="s">
        <v>35</v>
      </c>
      <c r="B2" s="380">
        <v>1000</v>
      </c>
      <c r="C2" s="357">
        <v>45934</v>
      </c>
      <c r="D2" s="358">
        <v>0</v>
      </c>
      <c r="E2" s="359"/>
      <c r="F2" s="80"/>
      <c r="G2" s="80"/>
      <c r="H2" s="80"/>
      <c r="I2" s="80"/>
      <c r="J2" s="80"/>
      <c r="K2" s="80"/>
      <c r="L2" s="80"/>
      <c r="M2" s="80"/>
      <c r="N2" s="80"/>
      <c r="O2" s="692" t="s">
        <v>7</v>
      </c>
      <c r="P2" s="693"/>
      <c r="Q2" s="80"/>
      <c r="R2" s="80"/>
      <c r="S2" s="81"/>
      <c r="T2" s="81"/>
      <c r="U2" s="81"/>
      <c r="V2" s="81"/>
    </row>
    <row r="3" spans="1:22" x14ac:dyDescent="0.2">
      <c r="A3" s="82" t="s">
        <v>5</v>
      </c>
      <c r="B3" s="180">
        <v>56</v>
      </c>
      <c r="C3" s="353">
        <v>45925</v>
      </c>
      <c r="D3" s="148">
        <v>2</v>
      </c>
      <c r="E3" s="360"/>
      <c r="F3" s="80"/>
      <c r="G3" s="80"/>
      <c r="H3" s="80"/>
      <c r="I3" s="80"/>
      <c r="J3" s="80"/>
      <c r="K3" s="80"/>
      <c r="L3" s="80"/>
      <c r="M3" s="80"/>
      <c r="N3" s="80"/>
      <c r="O3" s="83"/>
      <c r="P3" s="84"/>
      <c r="Q3" s="80"/>
      <c r="R3" s="80"/>
      <c r="S3" s="81"/>
      <c r="T3" s="81"/>
      <c r="U3" s="81"/>
      <c r="V3" s="81"/>
    </row>
    <row r="4" spans="1:22" x14ac:dyDescent="0.2">
      <c r="A4" s="82" t="s">
        <v>9</v>
      </c>
      <c r="B4" s="180">
        <v>1060</v>
      </c>
      <c r="C4" s="353">
        <v>45935</v>
      </c>
      <c r="D4" s="197">
        <v>0</v>
      </c>
      <c r="E4" s="360"/>
      <c r="F4" s="80"/>
      <c r="G4" s="80"/>
      <c r="H4" s="80"/>
      <c r="I4" s="80"/>
      <c r="J4" s="80"/>
      <c r="K4" s="80"/>
      <c r="L4" s="278"/>
      <c r="M4" s="80"/>
      <c r="N4" s="80"/>
      <c r="O4" s="85"/>
      <c r="P4" s="86"/>
      <c r="Q4" s="80"/>
      <c r="R4" s="80"/>
      <c r="S4" s="81"/>
      <c r="T4" s="81"/>
      <c r="U4" s="81"/>
      <c r="V4" s="81"/>
    </row>
    <row r="5" spans="1:22" x14ac:dyDescent="0.2">
      <c r="A5" s="82" t="s">
        <v>12</v>
      </c>
      <c r="B5" s="180">
        <v>780</v>
      </c>
      <c r="C5" s="353">
        <v>45928</v>
      </c>
      <c r="D5" s="148">
        <v>0</v>
      </c>
      <c r="E5" s="360"/>
      <c r="F5" s="80"/>
      <c r="G5" s="80"/>
      <c r="H5" s="80"/>
      <c r="I5" s="80"/>
      <c r="J5" s="80"/>
      <c r="K5" s="80"/>
      <c r="L5" s="80"/>
      <c r="M5" s="80"/>
      <c r="N5" s="80"/>
      <c r="O5" s="85"/>
      <c r="P5" s="86"/>
      <c r="Q5" s="80"/>
      <c r="R5" s="80"/>
      <c r="S5" s="81"/>
      <c r="T5" s="81"/>
      <c r="U5" s="81"/>
      <c r="V5" s="81"/>
    </row>
    <row r="6" spans="1:22" x14ac:dyDescent="0.2">
      <c r="A6" s="82" t="s">
        <v>17</v>
      </c>
      <c r="B6" s="180">
        <v>1500</v>
      </c>
      <c r="C6" s="353">
        <v>45934</v>
      </c>
      <c r="D6" s="148">
        <v>0</v>
      </c>
      <c r="E6" s="360"/>
      <c r="F6" s="80"/>
      <c r="G6" s="80"/>
      <c r="H6" s="80"/>
      <c r="I6" s="80"/>
      <c r="J6" s="80"/>
      <c r="K6" s="80"/>
      <c r="L6" s="80"/>
      <c r="M6" s="80"/>
      <c r="N6" s="80"/>
      <c r="O6" s="85"/>
      <c r="P6" s="86"/>
      <c r="Q6" s="80"/>
      <c r="R6" s="80"/>
      <c r="S6" s="81"/>
      <c r="T6" s="81"/>
      <c r="U6" s="81"/>
      <c r="V6" s="81"/>
    </row>
    <row r="7" spans="1:22" x14ac:dyDescent="0.2">
      <c r="A7" s="82" t="s">
        <v>38</v>
      </c>
      <c r="B7" s="180">
        <v>143</v>
      </c>
      <c r="C7" s="353">
        <v>45928</v>
      </c>
      <c r="D7" s="148">
        <v>2</v>
      </c>
      <c r="E7" s="360"/>
      <c r="F7" s="80"/>
      <c r="L7" s="80"/>
      <c r="M7" s="80"/>
      <c r="N7" s="80"/>
      <c r="O7" s="85"/>
      <c r="P7" s="86"/>
      <c r="Q7" s="80"/>
      <c r="R7" s="80"/>
      <c r="S7" s="81"/>
      <c r="T7" s="81"/>
      <c r="U7" s="81"/>
      <c r="V7" s="81"/>
    </row>
    <row r="8" spans="1:22" x14ac:dyDescent="0.2">
      <c r="A8" s="82" t="s">
        <v>19</v>
      </c>
      <c r="B8" s="180">
        <v>400</v>
      </c>
      <c r="C8" s="353">
        <v>45928</v>
      </c>
      <c r="D8" s="148">
        <v>2</v>
      </c>
      <c r="E8" s="360"/>
      <c r="F8" s="80"/>
      <c r="L8" s="80"/>
      <c r="M8" s="80"/>
      <c r="N8" s="80"/>
      <c r="O8" s="85"/>
      <c r="P8" s="86"/>
      <c r="Q8" s="80"/>
      <c r="R8" s="80"/>
      <c r="S8" s="81"/>
      <c r="T8" s="81"/>
      <c r="U8" s="81"/>
      <c r="V8" s="81"/>
    </row>
    <row r="9" spans="1:22" x14ac:dyDescent="0.2">
      <c r="A9" s="82" t="s">
        <v>14</v>
      </c>
      <c r="B9" s="180">
        <v>200</v>
      </c>
      <c r="C9" s="353">
        <v>45925</v>
      </c>
      <c r="D9" s="148">
        <v>2</v>
      </c>
      <c r="E9" s="360"/>
      <c r="F9" s="80"/>
      <c r="L9" s="80"/>
      <c r="M9" s="80"/>
      <c r="N9" s="80"/>
      <c r="O9" s="85"/>
      <c r="P9" s="86"/>
      <c r="Q9" s="80"/>
      <c r="R9" s="80"/>
      <c r="S9" s="81"/>
      <c r="T9" s="81"/>
      <c r="U9" s="81"/>
      <c r="V9" s="81"/>
    </row>
    <row r="10" spans="1:22" x14ac:dyDescent="0.2">
      <c r="A10" s="82" t="s">
        <v>13</v>
      </c>
      <c r="B10" s="180">
        <v>200</v>
      </c>
      <c r="C10" s="353">
        <v>45934</v>
      </c>
      <c r="D10" s="148">
        <v>0</v>
      </c>
      <c r="E10" s="360"/>
      <c r="F10" s="80"/>
      <c r="L10" s="80"/>
      <c r="M10" s="80"/>
      <c r="N10" s="80"/>
      <c r="O10" s="85"/>
      <c r="P10" s="86"/>
      <c r="Q10" s="80"/>
      <c r="R10" s="80"/>
      <c r="S10" s="81"/>
      <c r="T10" s="81"/>
      <c r="U10" s="81"/>
      <c r="V10" s="81"/>
    </row>
    <row r="11" spans="1:22" x14ac:dyDescent="0.2">
      <c r="A11" s="82" t="s">
        <v>8</v>
      </c>
      <c r="B11" s="180">
        <v>350</v>
      </c>
      <c r="C11" s="353">
        <v>45925</v>
      </c>
      <c r="D11" s="148">
        <v>2</v>
      </c>
      <c r="E11" s="360"/>
      <c r="F11" s="87"/>
      <c r="L11" s="80"/>
      <c r="M11" s="80"/>
      <c r="N11" s="80"/>
      <c r="O11" s="85"/>
      <c r="P11" s="86"/>
      <c r="Q11" s="80"/>
      <c r="R11" s="80"/>
      <c r="S11" s="81"/>
      <c r="T11" s="81"/>
      <c r="U11" s="81"/>
      <c r="V11" s="81"/>
    </row>
    <row r="12" spans="1:22" x14ac:dyDescent="0.2">
      <c r="A12" s="82" t="s">
        <v>11</v>
      </c>
      <c r="B12" s="180">
        <v>500</v>
      </c>
      <c r="C12" s="353">
        <v>45926</v>
      </c>
      <c r="D12" s="148">
        <v>2</v>
      </c>
      <c r="E12" s="360"/>
      <c r="F12" s="80"/>
      <c r="L12" s="80"/>
      <c r="M12" s="80"/>
      <c r="N12" s="80"/>
      <c r="O12" s="85"/>
      <c r="P12" s="86"/>
      <c r="Q12" s="80"/>
      <c r="R12" s="80"/>
      <c r="S12" s="81"/>
      <c r="T12" s="81"/>
      <c r="U12" s="81"/>
      <c r="V12" s="81"/>
    </row>
    <row r="13" spans="1:22" x14ac:dyDescent="0.2">
      <c r="A13" s="82" t="s">
        <v>10</v>
      </c>
      <c r="B13" s="180">
        <v>200</v>
      </c>
      <c r="C13" s="353">
        <v>45942</v>
      </c>
      <c r="D13" s="148">
        <v>0</v>
      </c>
      <c r="E13" s="360"/>
      <c r="F13" s="80"/>
      <c r="L13" s="80"/>
      <c r="M13" s="80"/>
      <c r="N13" s="80"/>
      <c r="O13" s="85"/>
      <c r="P13" s="86"/>
      <c r="Q13" s="80"/>
      <c r="R13" s="80"/>
      <c r="S13" s="81"/>
      <c r="T13" s="81"/>
      <c r="U13" s="81"/>
      <c r="V13" s="81"/>
    </row>
    <row r="14" spans="1:22" x14ac:dyDescent="0.2">
      <c r="A14" s="82" t="s">
        <v>18</v>
      </c>
      <c r="B14" s="180">
        <v>823</v>
      </c>
      <c r="C14" s="353">
        <v>45928</v>
      </c>
      <c r="D14" s="148">
        <v>2</v>
      </c>
      <c r="E14" s="360"/>
      <c r="F14" s="80"/>
      <c r="L14" s="80"/>
      <c r="M14" s="80"/>
      <c r="N14" s="80"/>
      <c r="O14" s="85"/>
      <c r="P14" s="86"/>
      <c r="Q14" s="80"/>
      <c r="R14" s="80"/>
      <c r="S14" s="81"/>
      <c r="T14" s="81"/>
      <c r="U14" s="81"/>
      <c r="V14" s="81"/>
    </row>
    <row r="15" spans="1:22" x14ac:dyDescent="0.2">
      <c r="A15" s="82"/>
      <c r="B15" s="67"/>
      <c r="C15" s="353"/>
      <c r="D15" s="197">
        <v>12</v>
      </c>
      <c r="E15" s="360"/>
      <c r="F15" s="80" t="s">
        <v>57</v>
      </c>
      <c r="L15" s="80"/>
      <c r="M15" s="80"/>
      <c r="N15" s="80"/>
      <c r="O15" s="85"/>
      <c r="P15" s="86">
        <f>SUM(P3:P14)</f>
        <v>0</v>
      </c>
      <c r="Q15" s="80"/>
      <c r="R15" s="80"/>
      <c r="S15" s="81"/>
      <c r="T15" s="81"/>
      <c r="U15" s="81"/>
      <c r="V15" s="81"/>
    </row>
    <row r="16" spans="1:22" ht="15.75" thickBot="1" x14ac:dyDescent="0.25">
      <c r="A16" s="130"/>
      <c r="B16" s="124"/>
      <c r="C16" s="361"/>
      <c r="D16" s="362">
        <v>3</v>
      </c>
      <c r="E16" s="363"/>
      <c r="F16" s="80"/>
      <c r="G16" s="248"/>
      <c r="L16" s="80"/>
      <c r="M16" s="80"/>
      <c r="N16" s="80"/>
      <c r="O16" s="80"/>
      <c r="P16" s="80"/>
      <c r="Q16" s="80"/>
      <c r="R16" s="80"/>
      <c r="S16" s="81"/>
      <c r="T16" s="81"/>
      <c r="U16" s="81"/>
      <c r="V16" s="81"/>
    </row>
    <row r="17" spans="1:22" x14ac:dyDescent="0.2">
      <c r="A17" s="8"/>
      <c r="B17" s="8"/>
      <c r="C17" s="8"/>
      <c r="E17" s="8"/>
      <c r="F17" s="80"/>
      <c r="L17" s="80"/>
      <c r="M17" s="80"/>
      <c r="N17" s="80"/>
      <c r="O17" s="80"/>
      <c r="P17" s="80"/>
      <c r="Q17" s="80"/>
      <c r="R17" s="80"/>
      <c r="S17" s="81"/>
      <c r="T17" s="81"/>
      <c r="U17" s="81"/>
      <c r="V17" s="81"/>
    </row>
    <row r="18" spans="1:22" x14ac:dyDescent="0.2">
      <c r="A18" s="8"/>
      <c r="B18" s="14">
        <f>SUM(B2:B17)</f>
        <v>7212</v>
      </c>
      <c r="C18" s="8"/>
      <c r="D18" s="143"/>
      <c r="E18" s="14">
        <f>SUM(E2:E17)</f>
        <v>0</v>
      </c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1"/>
      <c r="T18" s="81"/>
      <c r="U18" s="81"/>
      <c r="V18" s="81"/>
    </row>
    <row r="19" spans="1:22" x14ac:dyDescent="0.2">
      <c r="A19" s="8"/>
      <c r="B19" s="8"/>
      <c r="C19" s="8"/>
      <c r="D19" s="143"/>
      <c r="E19" s="8"/>
      <c r="F19" s="115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1"/>
      <c r="T19" s="81"/>
      <c r="U19" s="81"/>
      <c r="V19" s="81"/>
    </row>
    <row r="20" spans="1:22" x14ac:dyDescent="0.2">
      <c r="A20" s="8"/>
      <c r="B20" s="8"/>
      <c r="C20" s="8"/>
      <c r="D20" s="143"/>
      <c r="E20" s="8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1"/>
      <c r="T20" s="81"/>
      <c r="U20" s="81"/>
      <c r="V20" s="81"/>
    </row>
    <row r="21" spans="1:22" x14ac:dyDescent="0.2">
      <c r="A21" s="8"/>
      <c r="B21" s="8"/>
      <c r="C21" s="8"/>
      <c r="D21" s="143"/>
      <c r="E21" s="8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  <c r="T21" s="81"/>
      <c r="U21" s="81"/>
      <c r="V21" s="81"/>
    </row>
    <row r="22" spans="1:22" x14ac:dyDescent="0.2">
      <c r="A22" s="8"/>
      <c r="B22" s="8"/>
      <c r="C22" s="8"/>
      <c r="D22" s="143"/>
      <c r="E22" s="8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1"/>
      <c r="T22" s="81"/>
      <c r="U22" s="81"/>
      <c r="V22" s="81"/>
    </row>
    <row r="23" spans="1:22" ht="15.75" thickBot="1" x14ac:dyDescent="0.25">
      <c r="A23" s="8"/>
      <c r="B23" s="8"/>
      <c r="C23" s="8"/>
      <c r="D23" s="143"/>
      <c r="E23" s="8"/>
      <c r="F23" s="80"/>
      <c r="G23" s="80"/>
      <c r="H23" s="80"/>
      <c r="I23" s="80"/>
      <c r="J23" s="80"/>
      <c r="K23" s="80"/>
      <c r="L23" s="80"/>
      <c r="M23" s="89"/>
      <c r="N23" s="80"/>
      <c r="O23" s="80"/>
      <c r="P23" s="80"/>
      <c r="Q23" s="80"/>
      <c r="R23" s="80"/>
      <c r="S23" s="81"/>
      <c r="T23" s="81"/>
      <c r="U23" s="81"/>
      <c r="V23" s="81"/>
    </row>
    <row r="24" spans="1:22" x14ac:dyDescent="0.2">
      <c r="A24" s="720" t="s">
        <v>62</v>
      </c>
      <c r="B24" s="721"/>
      <c r="C24" s="721"/>
      <c r="D24" s="721"/>
      <c r="E24" s="722"/>
      <c r="F24" s="80"/>
      <c r="G24" s="702" t="s">
        <v>20</v>
      </c>
      <c r="H24" s="703"/>
      <c r="I24" s="703"/>
      <c r="J24" s="703"/>
      <c r="K24" s="704"/>
      <c r="L24" s="220" t="s">
        <v>21</v>
      </c>
      <c r="M24" s="91"/>
      <c r="N24" s="697" t="s">
        <v>22</v>
      </c>
      <c r="O24" s="698"/>
      <c r="P24" s="698"/>
      <c r="Q24" s="698"/>
      <c r="R24" s="698"/>
      <c r="S24" s="92" t="s">
        <v>21</v>
      </c>
      <c r="T24" s="81"/>
      <c r="U24" s="81"/>
      <c r="V24" s="81"/>
    </row>
    <row r="25" spans="1:22" x14ac:dyDescent="0.2">
      <c r="A25" s="366" t="s">
        <v>24</v>
      </c>
      <c r="B25" s="125" t="s">
        <v>1</v>
      </c>
      <c r="C25" s="125" t="s">
        <v>2</v>
      </c>
      <c r="D25" s="144" t="s">
        <v>25</v>
      </c>
      <c r="E25" s="367"/>
      <c r="F25" s="80"/>
      <c r="G25" s="221" t="s">
        <v>24</v>
      </c>
      <c r="H25" s="94" t="s">
        <v>1</v>
      </c>
      <c r="I25" s="94" t="s">
        <v>2</v>
      </c>
      <c r="J25" s="94" t="s">
        <v>25</v>
      </c>
      <c r="K25" s="94" t="s">
        <v>3</v>
      </c>
      <c r="L25" s="222"/>
      <c r="M25" s="91"/>
      <c r="N25" s="93" t="s">
        <v>24</v>
      </c>
      <c r="O25" s="94" t="s">
        <v>1</v>
      </c>
      <c r="P25" s="94" t="s">
        <v>2</v>
      </c>
      <c r="Q25" s="94" t="s">
        <v>25</v>
      </c>
      <c r="R25" s="94" t="s">
        <v>6</v>
      </c>
      <c r="S25" s="96"/>
      <c r="T25" s="81"/>
      <c r="U25" s="81"/>
      <c r="V25" s="81"/>
    </row>
    <row r="26" spans="1:22" x14ac:dyDescent="0.2">
      <c r="A26" s="439"/>
      <c r="B26" s="213"/>
      <c r="C26" s="280"/>
      <c r="D26" s="203"/>
      <c r="E26" s="371"/>
      <c r="F26" s="80"/>
      <c r="G26" s="433"/>
      <c r="H26" s="213"/>
      <c r="I26" s="280"/>
      <c r="J26" s="203"/>
      <c r="K26" s="105"/>
      <c r="L26" s="223"/>
      <c r="M26" s="443"/>
      <c r="N26" s="333"/>
      <c r="O26" s="334"/>
      <c r="P26" s="279"/>
      <c r="Q26" s="105"/>
      <c r="R26" s="105"/>
      <c r="S26" s="444"/>
      <c r="T26" s="81"/>
      <c r="U26" s="81"/>
      <c r="V26" s="81"/>
    </row>
    <row r="27" spans="1:22" x14ac:dyDescent="0.2">
      <c r="A27" s="370"/>
      <c r="B27" s="214"/>
      <c r="C27" s="315"/>
      <c r="D27" s="197"/>
      <c r="E27" s="480"/>
      <c r="F27" s="80"/>
      <c r="G27" s="297"/>
      <c r="H27" s="214"/>
      <c r="I27" s="315"/>
      <c r="J27" s="197"/>
      <c r="K27" s="105"/>
      <c r="L27" s="223"/>
      <c r="M27" s="443"/>
      <c r="N27" s="295"/>
      <c r="O27" s="261"/>
      <c r="P27" s="290"/>
      <c r="Q27" s="352"/>
      <c r="R27" s="105"/>
      <c r="S27" s="444"/>
      <c r="T27" s="81"/>
      <c r="U27" s="81"/>
      <c r="V27" s="81"/>
    </row>
    <row r="28" spans="1:22" x14ac:dyDescent="0.2">
      <c r="A28" s="481"/>
      <c r="B28" s="436"/>
      <c r="C28" s="437"/>
      <c r="D28" s="352"/>
      <c r="E28" s="482"/>
      <c r="F28" s="80"/>
      <c r="G28" s="333"/>
      <c r="H28" s="334"/>
      <c r="I28" s="279"/>
      <c r="J28" s="105"/>
      <c r="K28" s="105"/>
      <c r="L28" s="223"/>
      <c r="M28" s="443"/>
      <c r="N28" s="297"/>
      <c r="O28" s="213"/>
      <c r="P28" s="280"/>
      <c r="Q28" s="352"/>
      <c r="R28" s="105"/>
      <c r="S28" s="444"/>
      <c r="T28" s="81"/>
      <c r="U28" s="81"/>
      <c r="V28" s="81"/>
    </row>
    <row r="29" spans="1:22" x14ac:dyDescent="0.2">
      <c r="A29" s="390"/>
      <c r="B29" s="410"/>
      <c r="C29" s="315"/>
      <c r="D29" s="352"/>
      <c r="E29" s="391"/>
      <c r="F29" s="80"/>
      <c r="G29" s="461"/>
      <c r="H29" s="410"/>
      <c r="I29" s="315"/>
      <c r="J29" s="463"/>
      <c r="K29" s="105"/>
      <c r="L29" s="223"/>
      <c r="M29" s="443"/>
      <c r="N29" s="297"/>
      <c r="O29" s="213"/>
      <c r="P29" s="280"/>
      <c r="Q29" s="352"/>
      <c r="R29" s="105"/>
      <c r="S29" s="444"/>
      <c r="T29" s="81"/>
      <c r="U29" s="81"/>
      <c r="V29" s="81"/>
    </row>
    <row r="30" spans="1:22" x14ac:dyDescent="0.2">
      <c r="A30" s="368"/>
      <c r="B30" s="261"/>
      <c r="C30" s="290"/>
      <c r="D30" s="352"/>
      <c r="E30" s="369"/>
      <c r="F30" s="80"/>
      <c r="G30" s="196"/>
      <c r="H30" s="214"/>
      <c r="I30" s="315"/>
      <c r="J30" s="197"/>
      <c r="K30" s="234"/>
      <c r="L30" s="225"/>
      <c r="M30" s="443"/>
      <c r="N30" s="297"/>
      <c r="O30" s="213"/>
      <c r="P30" s="280"/>
      <c r="Q30" s="105"/>
      <c r="R30" s="105"/>
      <c r="S30" s="108"/>
      <c r="T30" s="109">
        <f>SUM(O26:O28)</f>
        <v>0</v>
      </c>
      <c r="U30" s="81"/>
      <c r="V30" s="81"/>
    </row>
    <row r="31" spans="1:22" x14ac:dyDescent="0.2">
      <c r="A31" s="370"/>
      <c r="B31" s="213"/>
      <c r="C31" s="315"/>
      <c r="D31" s="352"/>
      <c r="E31" s="371"/>
      <c r="F31" s="80"/>
      <c r="G31" s="295"/>
      <c r="H31" s="261"/>
      <c r="I31" s="290"/>
      <c r="J31" s="352"/>
      <c r="K31" s="160"/>
      <c r="L31" s="235"/>
      <c r="M31" s="443"/>
      <c r="N31" s="297"/>
      <c r="O31" s="213"/>
      <c r="P31" s="280"/>
      <c r="Q31" s="352"/>
      <c r="R31" s="105"/>
      <c r="S31" s="444"/>
      <c r="T31" s="109"/>
      <c r="U31" s="81"/>
      <c r="V31" s="81"/>
    </row>
    <row r="32" spans="1:22" x14ac:dyDescent="0.2">
      <c r="A32" s="370"/>
      <c r="B32" s="213"/>
      <c r="C32" s="280"/>
      <c r="D32" s="352"/>
      <c r="E32" s="371"/>
      <c r="F32" s="91"/>
      <c r="G32" s="297"/>
      <c r="H32" s="213"/>
      <c r="I32" s="280"/>
      <c r="J32" s="352"/>
      <c r="K32" s="160"/>
      <c r="L32" s="235"/>
      <c r="M32" s="443"/>
      <c r="N32" s="297"/>
      <c r="O32" s="213"/>
      <c r="P32" s="280"/>
      <c r="Q32" s="352"/>
      <c r="R32" s="105"/>
      <c r="S32" s="444"/>
      <c r="T32" s="81"/>
      <c r="U32" s="81"/>
      <c r="V32" s="81"/>
    </row>
    <row r="33" spans="1:22" x14ac:dyDescent="0.2">
      <c r="A33" s="370"/>
      <c r="B33" s="213"/>
      <c r="C33" s="280"/>
      <c r="D33" s="352"/>
      <c r="E33" s="371"/>
      <c r="F33" s="199"/>
      <c r="G33" s="297"/>
      <c r="H33" s="213"/>
      <c r="I33" s="280"/>
      <c r="J33" s="352"/>
      <c r="K33" s="160"/>
      <c r="L33" s="235"/>
      <c r="M33" s="443"/>
      <c r="N33" s="196"/>
      <c r="O33" s="322"/>
      <c r="P33" s="159"/>
      <c r="Q33" s="203"/>
      <c r="R33" s="105"/>
      <c r="S33" s="444"/>
      <c r="T33" s="81"/>
      <c r="U33" s="81"/>
      <c r="V33" s="81"/>
    </row>
    <row r="34" spans="1:22" ht="13.15" customHeight="1" x14ac:dyDescent="0.2">
      <c r="A34" s="370"/>
      <c r="B34" s="213"/>
      <c r="C34" s="280"/>
      <c r="D34" s="352"/>
      <c r="E34" s="371"/>
      <c r="F34" s="91"/>
      <c r="G34" s="297"/>
      <c r="H34" s="213"/>
      <c r="I34" s="280"/>
      <c r="J34" s="203"/>
      <c r="K34" s="160"/>
      <c r="L34" s="235"/>
      <c r="M34" s="443"/>
      <c r="N34" s="468"/>
      <c r="O34" s="322"/>
      <c r="P34" s="159"/>
      <c r="Q34" s="203"/>
      <c r="R34" s="105"/>
      <c r="S34" s="444"/>
      <c r="T34" s="81"/>
      <c r="U34" s="81"/>
      <c r="V34" s="81"/>
    </row>
    <row r="35" spans="1:22" x14ac:dyDescent="0.2">
      <c r="A35" s="370"/>
      <c r="B35" s="213"/>
      <c r="C35" s="280"/>
      <c r="D35" s="352"/>
      <c r="E35" s="371"/>
      <c r="F35" s="91"/>
      <c r="G35" s="297"/>
      <c r="H35" s="213"/>
      <c r="I35" s="280"/>
      <c r="J35" s="352"/>
      <c r="K35" s="160"/>
      <c r="L35" s="235"/>
      <c r="M35" s="443"/>
      <c r="N35" s="470"/>
      <c r="O35" s="465"/>
      <c r="P35" s="466"/>
      <c r="Q35" s="467"/>
      <c r="R35" s="105"/>
      <c r="S35" s="444"/>
      <c r="T35" s="81"/>
      <c r="U35" s="111"/>
      <c r="V35" s="81"/>
    </row>
    <row r="36" spans="1:22" x14ac:dyDescent="0.2">
      <c r="A36" s="370"/>
      <c r="B36" s="213"/>
      <c r="C36" s="280"/>
      <c r="D36" s="352"/>
      <c r="E36" s="371"/>
      <c r="F36" s="91"/>
      <c r="G36" s="297"/>
      <c r="H36" s="213"/>
      <c r="I36" s="280"/>
      <c r="J36" s="352"/>
      <c r="K36" s="160"/>
      <c r="L36" s="235"/>
      <c r="M36" s="443"/>
      <c r="N36" s="470"/>
      <c r="O36" s="465"/>
      <c r="P36" s="466"/>
      <c r="Q36" s="467"/>
      <c r="R36" s="105"/>
      <c r="S36" s="444"/>
      <c r="T36" s="81"/>
      <c r="U36" s="81"/>
      <c r="V36" s="81"/>
    </row>
    <row r="37" spans="1:22" x14ac:dyDescent="0.2">
      <c r="A37" s="370"/>
      <c r="B37" s="213"/>
      <c r="C37" s="159"/>
      <c r="D37" s="203"/>
      <c r="E37" s="371"/>
      <c r="F37" s="80"/>
      <c r="G37" s="196"/>
      <c r="H37" s="213"/>
      <c r="I37" s="159"/>
      <c r="J37" s="203"/>
      <c r="K37" s="160"/>
      <c r="L37" s="235"/>
      <c r="M37" s="443"/>
      <c r="N37" s="102"/>
      <c r="O37" s="103"/>
      <c r="P37" s="279"/>
      <c r="Q37" s="105"/>
      <c r="R37" s="105"/>
      <c r="S37" s="444"/>
      <c r="T37" s="81"/>
      <c r="U37" s="81"/>
      <c r="V37" s="81"/>
    </row>
    <row r="38" spans="1:22" x14ac:dyDescent="0.2">
      <c r="A38" s="370"/>
      <c r="B38" s="213"/>
      <c r="C38" s="159"/>
      <c r="D38" s="203"/>
      <c r="E38" s="371"/>
      <c r="F38" s="80"/>
      <c r="G38" s="196"/>
      <c r="H38" s="213"/>
      <c r="I38" s="159"/>
      <c r="J38" s="203"/>
      <c r="K38" s="160"/>
      <c r="L38" s="235"/>
      <c r="M38" s="443"/>
      <c r="N38" s="102"/>
      <c r="O38" s="103"/>
      <c r="P38" s="279"/>
      <c r="Q38" s="105"/>
      <c r="R38" s="105"/>
      <c r="S38" s="444"/>
      <c r="T38" s="81"/>
      <c r="U38" s="81"/>
      <c r="V38" s="81"/>
    </row>
    <row r="39" spans="1:22" x14ac:dyDescent="0.2">
      <c r="A39" s="370"/>
      <c r="B39" s="322"/>
      <c r="C39" s="159"/>
      <c r="D39" s="203"/>
      <c r="E39" s="371"/>
      <c r="F39" s="80"/>
      <c r="G39" s="196"/>
      <c r="H39" s="322"/>
      <c r="I39" s="159"/>
      <c r="J39" s="203"/>
      <c r="K39" s="160"/>
      <c r="L39" s="235"/>
      <c r="M39" s="443"/>
      <c r="N39" s="102"/>
      <c r="O39" s="103"/>
      <c r="P39" s="279"/>
      <c r="Q39" s="105"/>
      <c r="R39" s="105"/>
      <c r="S39" s="444"/>
      <c r="T39" s="81"/>
      <c r="U39" s="81"/>
      <c r="V39" s="81"/>
    </row>
    <row r="40" spans="1:22" x14ac:dyDescent="0.2">
      <c r="A40" s="370"/>
      <c r="B40" s="322"/>
      <c r="C40" s="159"/>
      <c r="D40" s="203"/>
      <c r="E40" s="371"/>
      <c r="F40" s="80"/>
      <c r="G40" s="196"/>
      <c r="H40" s="322"/>
      <c r="I40" s="159"/>
      <c r="J40" s="203"/>
      <c r="K40" s="160"/>
      <c r="L40" s="235"/>
      <c r="M40" s="443"/>
      <c r="N40" s="102"/>
      <c r="O40" s="103"/>
      <c r="P40" s="279"/>
      <c r="Q40" s="105"/>
      <c r="R40" s="105"/>
      <c r="S40" s="444"/>
      <c r="T40" s="81"/>
      <c r="U40" s="81"/>
      <c r="V40" s="81"/>
    </row>
    <row r="41" spans="1:22" x14ac:dyDescent="0.2">
      <c r="A41" s="483"/>
      <c r="B41" s="322"/>
      <c r="C41" s="159"/>
      <c r="D41" s="203"/>
      <c r="E41" s="484"/>
      <c r="F41" s="80"/>
      <c r="G41" s="468"/>
      <c r="H41" s="322"/>
      <c r="I41" s="159"/>
      <c r="J41" s="203"/>
      <c r="K41" s="160"/>
      <c r="L41" s="235"/>
      <c r="M41" s="443"/>
      <c r="N41" s="102"/>
      <c r="O41" s="103"/>
      <c r="P41" s="279"/>
      <c r="Q41" s="105"/>
      <c r="R41" s="105"/>
      <c r="S41" s="444"/>
      <c r="T41" s="81"/>
      <c r="U41" s="81"/>
      <c r="V41" s="81"/>
    </row>
    <row r="42" spans="1:22" x14ac:dyDescent="0.2">
      <c r="A42" s="485"/>
      <c r="B42" s="465"/>
      <c r="C42" s="466"/>
      <c r="D42" s="467"/>
      <c r="E42" s="486"/>
      <c r="F42" s="80"/>
      <c r="G42" s="470"/>
      <c r="H42" s="465"/>
      <c r="I42" s="466"/>
      <c r="J42" s="467"/>
      <c r="K42" s="160"/>
      <c r="L42" s="235"/>
      <c r="M42" s="443"/>
      <c r="N42" s="102"/>
      <c r="O42" s="103"/>
      <c r="P42" s="279"/>
      <c r="Q42" s="105"/>
      <c r="R42" s="105"/>
      <c r="S42" s="444"/>
      <c r="T42" s="81"/>
      <c r="U42" s="81"/>
      <c r="V42" s="81"/>
    </row>
    <row r="43" spans="1:22" ht="15.75" thickBot="1" x14ac:dyDescent="0.25">
      <c r="A43" s="487"/>
      <c r="B43" s="479"/>
      <c r="C43" s="466"/>
      <c r="D43" s="467"/>
      <c r="E43" s="488"/>
      <c r="F43" s="80"/>
      <c r="G43" s="478"/>
      <c r="H43" s="479"/>
      <c r="I43" s="466"/>
      <c r="J43" s="467"/>
      <c r="K43" s="160"/>
      <c r="L43" s="235"/>
      <c r="M43" s="443"/>
      <c r="N43" s="456"/>
      <c r="O43" s="457"/>
      <c r="P43" s="458"/>
      <c r="Q43" s="459"/>
      <c r="R43" s="459"/>
      <c r="S43" s="460"/>
      <c r="T43" s="81"/>
      <c r="U43" s="81"/>
      <c r="V43" s="81"/>
    </row>
    <row r="44" spans="1:22" x14ac:dyDescent="0.2">
      <c r="A44" s="485"/>
      <c r="B44" s="465"/>
      <c r="C44" s="466"/>
      <c r="D44" s="467"/>
      <c r="E44" s="486"/>
      <c r="F44" s="81" t="s">
        <v>61</v>
      </c>
      <c r="G44" s="200"/>
      <c r="H44" s="219"/>
      <c r="I44" s="201"/>
      <c r="J44" s="207"/>
      <c r="K44" s="172"/>
      <c r="L44" s="226"/>
      <c r="M44" s="174"/>
      <c r="N44" s="81"/>
      <c r="O44" s="123">
        <f>SUM(O26:O43)</f>
        <v>0</v>
      </c>
      <c r="P44" s="81"/>
      <c r="Q44" s="81"/>
      <c r="R44" s="81"/>
      <c r="S44" s="81"/>
      <c r="T44" s="123">
        <f>O44-T31</f>
        <v>0</v>
      </c>
      <c r="U44" s="81"/>
      <c r="V44" s="81"/>
    </row>
    <row r="45" spans="1:22" ht="15.75" thickBot="1" x14ac:dyDescent="0.25">
      <c r="A45" s="485"/>
      <c r="B45" s="465"/>
      <c r="C45" s="466"/>
      <c r="D45" s="467"/>
      <c r="E45" s="486"/>
      <c r="F45" s="81"/>
      <c r="G45" s="208"/>
      <c r="H45" s="209"/>
      <c r="I45" s="285"/>
      <c r="J45" s="233"/>
      <c r="K45" s="210"/>
      <c r="L45" s="212"/>
      <c r="M45" s="81"/>
      <c r="N45" s="81"/>
      <c r="O45" s="81"/>
      <c r="P45" s="81"/>
      <c r="Q45" s="81"/>
      <c r="R45" s="81"/>
      <c r="S45" s="81"/>
      <c r="T45" s="111"/>
      <c r="U45" s="81"/>
      <c r="V45" s="81"/>
    </row>
    <row r="46" spans="1:22" x14ac:dyDescent="0.2">
      <c r="A46" s="485"/>
      <c r="B46" s="465"/>
      <c r="C46" s="466"/>
      <c r="D46" s="467"/>
      <c r="E46" s="486"/>
      <c r="H46" s="44"/>
    </row>
    <row r="47" spans="1:22" ht="15.75" thickBot="1" x14ac:dyDescent="0.25">
      <c r="A47" s="375"/>
      <c r="B47" s="376"/>
      <c r="C47" s="377"/>
      <c r="D47" s="378"/>
      <c r="E47" s="379"/>
    </row>
    <row r="48" spans="1:22" x14ac:dyDescent="0.2">
      <c r="B48" s="44">
        <f>SUM(B26:B47)</f>
        <v>0</v>
      </c>
      <c r="H48" s="44">
        <f>SUM(H26:H47)</f>
        <v>0</v>
      </c>
    </row>
    <row r="50" spans="7:8" x14ac:dyDescent="0.2">
      <c r="G50" s="40" t="s">
        <v>27</v>
      </c>
      <c r="H50" s="41">
        <f>H48-O44</f>
        <v>0</v>
      </c>
    </row>
  </sheetData>
  <mergeCells count="4">
    <mergeCell ref="O2:P2"/>
    <mergeCell ref="A24:E24"/>
    <mergeCell ref="G24:K24"/>
    <mergeCell ref="N24:R24"/>
  </mergeCells>
  <conditionalFormatting sqref="D2:D16">
    <cfRule type="iconSet" priority="1">
      <iconSet showValue="0">
        <cfvo type="percent" val="0"/>
        <cfvo type="num" val="0" gte="0"/>
        <cfvo type="num" val="2"/>
      </iconSet>
    </cfRule>
    <cfRule type="iconSet" priority="2">
      <iconSet showValue="0">
        <cfvo type="percent" val="0"/>
        <cfvo type="num" val="0"/>
        <cfvo type="num" val="2"/>
      </iconSet>
    </cfRule>
  </conditionalFormatting>
  <dataValidations count="1">
    <dataValidation type="date" allowBlank="1" showInputMessage="1" showErrorMessage="1" sqref="C3:C16" xr:uid="{7A2466BE-5083-D64A-A5D1-3CAE0E9BA5AD}">
      <formula1>45658</formula1>
      <formula2>46022</formula2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D5AD6407-D4FD-1D49-96BF-F576E4E56C5E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TrafficLights1" iconId="1"/>
              <x14:cfIcon iconSet="4RedToBlack" iconId="3"/>
              <x14:cfIcon iconSet="3Symbols" iconId="2"/>
            </x14:iconSet>
          </x14:cfRule>
          <x14:cfRule type="iconSet" priority="4" id="{92047AF0-9EE3-B349-9F2E-B40ACFEB8F3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D2:D16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B04F-04A1-BA47-A160-DAB9E150F8B6}">
  <dimension ref="A1:V50"/>
  <sheetViews>
    <sheetView zoomScaleNormal="150" zoomScaleSheetLayoutView="100" workbookViewId="0">
      <selection activeCell="C18" sqref="C18"/>
    </sheetView>
  </sheetViews>
  <sheetFormatPr defaultColWidth="8.875" defaultRowHeight="15" x14ac:dyDescent="0.2"/>
  <cols>
    <col min="1" max="1" width="14.125" bestFit="1" customWidth="1"/>
    <col min="2" max="2" width="19.1015625" customWidth="1"/>
    <col min="3" max="3" width="19.7734375" style="152" customWidth="1"/>
    <col min="4" max="4" width="8.47265625" bestFit="1" customWidth="1"/>
    <col min="5" max="5" width="12.5078125" bestFit="1" customWidth="1"/>
    <col min="6" max="6" width="28.515625" customWidth="1"/>
    <col min="7" max="7" width="15.46875" customWidth="1"/>
    <col min="8" max="8" width="11.56640625" bestFit="1" customWidth="1"/>
    <col min="9" max="9" width="11.97265625" customWidth="1"/>
    <col min="10" max="10" width="8.47265625" bestFit="1" customWidth="1"/>
    <col min="11" max="11" width="10.0859375" bestFit="1" customWidth="1"/>
    <col min="12" max="12" width="11.02734375" bestFit="1" customWidth="1"/>
    <col min="13" max="13" width="8.47265625" bestFit="1" customWidth="1"/>
    <col min="14" max="14" width="14.125" bestFit="1" customWidth="1"/>
    <col min="15" max="15" width="11.296875" bestFit="1" customWidth="1"/>
    <col min="16" max="16" width="13.1796875" customWidth="1"/>
    <col min="17" max="18" width="8.47265625" bestFit="1" customWidth="1"/>
    <col min="19" max="19" width="19.37109375" customWidth="1"/>
    <col min="20" max="20" width="10.0859375" bestFit="1" customWidth="1"/>
    <col min="21" max="21" width="9.4140625" bestFit="1" customWidth="1"/>
  </cols>
  <sheetData>
    <row r="1" spans="1:22" ht="15.75" thickBot="1" x14ac:dyDescent="0.25">
      <c r="A1" s="354" t="s">
        <v>0</v>
      </c>
      <c r="B1" s="355" t="s">
        <v>1</v>
      </c>
      <c r="C1" s="237" t="s">
        <v>2</v>
      </c>
      <c r="D1" s="243" t="s">
        <v>3</v>
      </c>
      <c r="E1" s="244" t="s">
        <v>4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1"/>
      <c r="T1" s="81"/>
      <c r="U1" s="81"/>
      <c r="V1" s="81"/>
    </row>
    <row r="2" spans="1:22" x14ac:dyDescent="0.2">
      <c r="A2" s="356" t="s">
        <v>35</v>
      </c>
      <c r="B2" s="432">
        <v>500</v>
      </c>
      <c r="C2" s="357"/>
      <c r="D2" s="358">
        <v>2</v>
      </c>
      <c r="E2" s="359"/>
      <c r="F2" s="80"/>
      <c r="G2" s="80"/>
      <c r="H2" s="80"/>
      <c r="I2" s="80"/>
      <c r="J2" s="80"/>
      <c r="K2" s="80"/>
      <c r="L2" s="80"/>
      <c r="M2" s="80"/>
      <c r="N2" s="80"/>
      <c r="O2" s="692" t="s">
        <v>7</v>
      </c>
      <c r="P2" s="693"/>
      <c r="Q2" s="80"/>
      <c r="R2" s="80"/>
      <c r="S2" s="81"/>
      <c r="T2" s="81"/>
      <c r="U2" s="81"/>
      <c r="V2" s="81"/>
    </row>
    <row r="3" spans="1:22" x14ac:dyDescent="0.2">
      <c r="A3" s="82" t="s">
        <v>5</v>
      </c>
      <c r="B3" s="67">
        <v>56</v>
      </c>
      <c r="C3" s="353"/>
      <c r="D3" s="148">
        <v>2</v>
      </c>
      <c r="E3" s="360"/>
      <c r="F3" s="80"/>
      <c r="G3" s="80"/>
      <c r="H3" s="80"/>
      <c r="I3" s="80"/>
      <c r="J3" s="80"/>
      <c r="K3" s="80"/>
      <c r="L3" s="80"/>
      <c r="M3" s="80"/>
      <c r="N3" s="80"/>
      <c r="O3" s="83"/>
      <c r="P3" s="84"/>
      <c r="Q3" s="80"/>
      <c r="R3" s="80"/>
      <c r="S3" s="81"/>
      <c r="T3" s="81"/>
      <c r="U3" s="81"/>
      <c r="V3" s="81"/>
    </row>
    <row r="4" spans="1:22" x14ac:dyDescent="0.2">
      <c r="A4" s="82" t="s">
        <v>9</v>
      </c>
      <c r="B4" s="67">
        <v>1060</v>
      </c>
      <c r="C4" s="353"/>
      <c r="D4" s="197">
        <v>2</v>
      </c>
      <c r="E4" s="360"/>
      <c r="F4" s="80"/>
      <c r="G4" s="80"/>
      <c r="H4" s="80"/>
      <c r="I4" s="80"/>
      <c r="J4" s="80"/>
      <c r="K4" s="80"/>
      <c r="L4" s="278"/>
      <c r="M4" s="80"/>
      <c r="N4" s="80"/>
      <c r="O4" s="85"/>
      <c r="P4" s="86"/>
      <c r="Q4" s="80"/>
      <c r="R4" s="80"/>
      <c r="S4" s="81"/>
      <c r="T4" s="81"/>
      <c r="U4" s="81"/>
      <c r="V4" s="81"/>
    </row>
    <row r="5" spans="1:22" x14ac:dyDescent="0.2">
      <c r="A5" s="82" t="s">
        <v>12</v>
      </c>
      <c r="B5" s="67">
        <v>780</v>
      </c>
      <c r="C5" s="353"/>
      <c r="D5" s="148">
        <v>2</v>
      </c>
      <c r="E5" s="360"/>
      <c r="F5" s="80"/>
      <c r="G5" s="80"/>
      <c r="H5" s="80"/>
      <c r="I5" s="80"/>
      <c r="J5" s="80"/>
      <c r="K5" s="80"/>
      <c r="L5" s="80"/>
      <c r="M5" s="80"/>
      <c r="N5" s="80"/>
      <c r="O5" s="85"/>
      <c r="P5" s="86"/>
      <c r="Q5" s="80"/>
      <c r="R5" s="80"/>
      <c r="S5" s="81"/>
      <c r="T5" s="81"/>
      <c r="U5" s="81"/>
      <c r="V5" s="81"/>
    </row>
    <row r="6" spans="1:22" x14ac:dyDescent="0.2">
      <c r="A6" s="82" t="s">
        <v>17</v>
      </c>
      <c r="B6" s="67">
        <v>1500</v>
      </c>
      <c r="C6" s="353"/>
      <c r="D6" s="148">
        <v>2</v>
      </c>
      <c r="E6" s="360"/>
      <c r="F6" s="80"/>
      <c r="G6" s="80"/>
      <c r="H6" s="80"/>
      <c r="I6" s="80"/>
      <c r="J6" s="80"/>
      <c r="K6" s="80"/>
      <c r="L6" s="80"/>
      <c r="M6" s="80"/>
      <c r="N6" s="80"/>
      <c r="O6" s="85"/>
      <c r="P6" s="86"/>
      <c r="Q6" s="80"/>
      <c r="R6" s="80"/>
      <c r="S6" s="81"/>
      <c r="T6" s="81"/>
      <c r="U6" s="81"/>
      <c r="V6" s="81"/>
    </row>
    <row r="7" spans="1:22" x14ac:dyDescent="0.2">
      <c r="A7" s="82" t="s">
        <v>38</v>
      </c>
      <c r="B7" s="67">
        <v>143</v>
      </c>
      <c r="C7" s="353"/>
      <c r="D7" s="148">
        <v>2</v>
      </c>
      <c r="E7" s="360"/>
      <c r="F7" s="80"/>
      <c r="L7" s="80"/>
      <c r="M7" s="80"/>
      <c r="N7" s="80"/>
      <c r="O7" s="85"/>
      <c r="P7" s="86"/>
      <c r="Q7" s="80"/>
      <c r="R7" s="80"/>
      <c r="S7" s="81"/>
      <c r="T7" s="81"/>
      <c r="U7" s="81"/>
      <c r="V7" s="81"/>
    </row>
    <row r="8" spans="1:22" x14ac:dyDescent="0.2">
      <c r="A8" s="82" t="s">
        <v>19</v>
      </c>
      <c r="B8" s="67">
        <v>400</v>
      </c>
      <c r="C8" s="353"/>
      <c r="D8" s="148">
        <v>2</v>
      </c>
      <c r="E8" s="360"/>
      <c r="F8" s="80"/>
      <c r="L8" s="80"/>
      <c r="M8" s="80"/>
      <c r="N8" s="80"/>
      <c r="O8" s="85"/>
      <c r="P8" s="86"/>
      <c r="Q8" s="80"/>
      <c r="R8" s="80"/>
      <c r="S8" s="81"/>
      <c r="T8" s="81"/>
      <c r="U8" s="81"/>
      <c r="V8" s="81"/>
    </row>
    <row r="9" spans="1:22" x14ac:dyDescent="0.2">
      <c r="A9" s="82" t="s">
        <v>14</v>
      </c>
      <c r="B9" s="67">
        <v>200</v>
      </c>
      <c r="C9" s="353"/>
      <c r="D9" s="148">
        <v>2</v>
      </c>
      <c r="E9" s="360"/>
      <c r="F9" s="80"/>
      <c r="L9" s="80"/>
      <c r="M9" s="80"/>
      <c r="N9" s="80"/>
      <c r="O9" s="85"/>
      <c r="P9" s="86"/>
      <c r="Q9" s="80"/>
      <c r="R9" s="80"/>
      <c r="S9" s="81"/>
      <c r="T9" s="81"/>
      <c r="U9" s="81"/>
      <c r="V9" s="81"/>
    </row>
    <row r="10" spans="1:22" x14ac:dyDescent="0.2">
      <c r="A10" s="82" t="s">
        <v>13</v>
      </c>
      <c r="B10" s="67">
        <v>200</v>
      </c>
      <c r="C10" s="353"/>
      <c r="D10" s="148">
        <v>2</v>
      </c>
      <c r="E10" s="360"/>
      <c r="F10" s="80"/>
      <c r="L10" s="80"/>
      <c r="M10" s="80"/>
      <c r="N10" s="80"/>
      <c r="O10" s="85"/>
      <c r="P10" s="86"/>
      <c r="Q10" s="80"/>
      <c r="R10" s="80"/>
      <c r="S10" s="81"/>
      <c r="T10" s="81"/>
      <c r="U10" s="81"/>
      <c r="V10" s="81"/>
    </row>
    <row r="11" spans="1:22" x14ac:dyDescent="0.2">
      <c r="A11" s="82" t="s">
        <v>8</v>
      </c>
      <c r="B11" s="67">
        <v>350</v>
      </c>
      <c r="C11" s="353"/>
      <c r="D11" s="148">
        <v>2</v>
      </c>
      <c r="E11" s="360"/>
      <c r="F11" s="87"/>
      <c r="L11" s="80"/>
      <c r="M11" s="80"/>
      <c r="N11" s="80"/>
      <c r="O11" s="85"/>
      <c r="P11" s="86"/>
      <c r="Q11" s="80"/>
      <c r="R11" s="80"/>
      <c r="S11" s="81"/>
      <c r="T11" s="81"/>
      <c r="U11" s="81"/>
      <c r="V11" s="81"/>
    </row>
    <row r="12" spans="1:22" x14ac:dyDescent="0.2">
      <c r="A12" s="82" t="s">
        <v>11</v>
      </c>
      <c r="B12" s="67">
        <v>500</v>
      </c>
      <c r="C12" s="353"/>
      <c r="D12" s="197">
        <v>2</v>
      </c>
      <c r="E12" s="360"/>
      <c r="F12" s="80"/>
      <c r="L12" s="80"/>
      <c r="M12" s="80"/>
      <c r="N12" s="80"/>
      <c r="O12" s="85"/>
      <c r="P12" s="86"/>
      <c r="Q12" s="80"/>
      <c r="R12" s="80"/>
      <c r="S12" s="81"/>
      <c r="T12" s="81"/>
      <c r="U12" s="81"/>
      <c r="V12" s="81"/>
    </row>
    <row r="13" spans="1:22" x14ac:dyDescent="0.2">
      <c r="A13" s="82" t="s">
        <v>10</v>
      </c>
      <c r="B13" s="67">
        <v>120</v>
      </c>
      <c r="C13" s="353"/>
      <c r="D13" s="148">
        <v>2</v>
      </c>
      <c r="E13" s="360"/>
      <c r="F13" s="80"/>
      <c r="L13" s="80"/>
      <c r="M13" s="80"/>
      <c r="N13" s="80"/>
      <c r="O13" s="85"/>
      <c r="P13" s="86"/>
      <c r="Q13" s="80"/>
      <c r="R13" s="80"/>
      <c r="S13" s="81"/>
      <c r="T13" s="81"/>
      <c r="U13" s="81"/>
      <c r="V13" s="81"/>
    </row>
    <row r="14" spans="1:22" x14ac:dyDescent="0.2">
      <c r="A14" s="82" t="s">
        <v>18</v>
      </c>
      <c r="B14" s="67">
        <v>1000</v>
      </c>
      <c r="C14" s="353"/>
      <c r="D14" s="148">
        <v>2</v>
      </c>
      <c r="E14" s="360"/>
      <c r="F14" s="80"/>
      <c r="L14" s="80"/>
      <c r="M14" s="80"/>
      <c r="N14" s="80"/>
      <c r="O14" s="85"/>
      <c r="P14" s="86"/>
      <c r="Q14" s="80"/>
      <c r="R14" s="80"/>
      <c r="S14" s="81"/>
      <c r="T14" s="81"/>
      <c r="U14" s="81"/>
      <c r="V14" s="81"/>
    </row>
    <row r="15" spans="1:22" x14ac:dyDescent="0.2">
      <c r="A15" s="82"/>
      <c r="B15" s="67"/>
      <c r="C15" s="353"/>
      <c r="D15" s="197">
        <v>12</v>
      </c>
      <c r="E15" s="360"/>
      <c r="F15" s="80" t="s">
        <v>57</v>
      </c>
      <c r="L15" s="80"/>
      <c r="M15" s="80"/>
      <c r="N15" s="80"/>
      <c r="O15" s="85"/>
      <c r="P15" s="86">
        <f>SUM(P3:P14)</f>
        <v>0</v>
      </c>
      <c r="Q15" s="80"/>
      <c r="R15" s="80"/>
      <c r="S15" s="81"/>
      <c r="T15" s="81"/>
      <c r="U15" s="81"/>
      <c r="V15" s="81"/>
    </row>
    <row r="16" spans="1:22" ht="15.75" thickBot="1" x14ac:dyDescent="0.25">
      <c r="A16" s="130"/>
      <c r="B16" s="124"/>
      <c r="C16" s="361"/>
      <c r="D16" s="362">
        <v>3</v>
      </c>
      <c r="E16" s="363"/>
      <c r="F16" s="80"/>
      <c r="G16" s="248"/>
      <c r="L16" s="80"/>
      <c r="M16" s="80"/>
      <c r="N16" s="80"/>
      <c r="O16" s="80"/>
      <c r="P16" s="80"/>
      <c r="Q16" s="80"/>
      <c r="R16" s="80"/>
      <c r="S16" s="81"/>
      <c r="T16" s="81"/>
      <c r="U16" s="81"/>
      <c r="V16" s="81"/>
    </row>
    <row r="17" spans="1:22" x14ac:dyDescent="0.2">
      <c r="A17" s="8"/>
      <c r="B17" s="8"/>
      <c r="C17" s="8"/>
      <c r="E17" s="8"/>
      <c r="F17" s="80"/>
      <c r="L17" s="80"/>
      <c r="M17" s="80"/>
      <c r="N17" s="80"/>
      <c r="O17" s="80"/>
      <c r="P17" s="80"/>
      <c r="Q17" s="80"/>
      <c r="R17" s="80"/>
      <c r="S17" s="81"/>
      <c r="T17" s="81"/>
      <c r="U17" s="81"/>
      <c r="V17" s="81"/>
    </row>
    <row r="18" spans="1:22" x14ac:dyDescent="0.2">
      <c r="A18" s="8"/>
      <c r="B18" s="14">
        <f>SUM(B2:B17)</f>
        <v>6809</v>
      </c>
      <c r="C18" s="8"/>
      <c r="D18" s="143"/>
      <c r="E18" s="14">
        <f>SUM(E2:E17)</f>
        <v>0</v>
      </c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1"/>
      <c r="T18" s="81"/>
      <c r="U18" s="81"/>
      <c r="V18" s="81"/>
    </row>
    <row r="19" spans="1:22" x14ac:dyDescent="0.2">
      <c r="A19" s="8"/>
      <c r="B19" s="8"/>
      <c r="C19" s="8"/>
      <c r="D19" s="143"/>
      <c r="E19" s="8"/>
      <c r="F19" s="115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1"/>
      <c r="T19" s="81"/>
      <c r="U19" s="81"/>
      <c r="V19" s="81"/>
    </row>
    <row r="20" spans="1:22" x14ac:dyDescent="0.2">
      <c r="A20" s="8"/>
      <c r="B20" s="8"/>
      <c r="C20" s="8"/>
      <c r="D20" s="143"/>
      <c r="E20" s="8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1"/>
      <c r="T20" s="81"/>
      <c r="U20" s="81"/>
      <c r="V20" s="81"/>
    </row>
    <row r="21" spans="1:22" x14ac:dyDescent="0.2">
      <c r="A21" s="8"/>
      <c r="B21" s="8"/>
      <c r="C21" s="8"/>
      <c r="D21" s="143"/>
      <c r="E21" s="8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  <c r="T21" s="81"/>
      <c r="U21" s="81"/>
      <c r="V21" s="81"/>
    </row>
    <row r="22" spans="1:22" x14ac:dyDescent="0.2">
      <c r="A22" s="8"/>
      <c r="B22" s="8"/>
      <c r="C22" s="8"/>
      <c r="D22" s="143"/>
      <c r="E22" s="8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1"/>
      <c r="T22" s="81"/>
      <c r="U22" s="81"/>
      <c r="V22" s="81"/>
    </row>
    <row r="23" spans="1:22" ht="15.75" thickBot="1" x14ac:dyDescent="0.25">
      <c r="A23" s="8"/>
      <c r="B23" s="8"/>
      <c r="C23" s="8"/>
      <c r="D23" s="143"/>
      <c r="E23" s="8"/>
      <c r="F23" s="80"/>
      <c r="G23" s="80"/>
      <c r="H23" s="80"/>
      <c r="I23" s="80"/>
      <c r="J23" s="80"/>
      <c r="K23" s="80"/>
      <c r="L23" s="80"/>
      <c r="M23" s="89"/>
      <c r="N23" s="80"/>
      <c r="O23" s="80"/>
      <c r="P23" s="80"/>
      <c r="Q23" s="80"/>
      <c r="R23" s="80"/>
      <c r="S23" s="81"/>
      <c r="T23" s="81"/>
      <c r="U23" s="81"/>
      <c r="V23" s="81"/>
    </row>
    <row r="24" spans="1:22" x14ac:dyDescent="0.2">
      <c r="A24" s="699" t="s">
        <v>30</v>
      </c>
      <c r="B24" s="700"/>
      <c r="C24" s="700"/>
      <c r="D24" s="700"/>
      <c r="E24" s="701"/>
      <c r="F24" s="80"/>
      <c r="G24" s="702" t="s">
        <v>20</v>
      </c>
      <c r="H24" s="703"/>
      <c r="I24" s="703"/>
      <c r="J24" s="703"/>
      <c r="K24" s="704"/>
      <c r="L24" s="220" t="s">
        <v>21</v>
      </c>
      <c r="M24" s="91"/>
      <c r="N24" s="697" t="s">
        <v>22</v>
      </c>
      <c r="O24" s="698"/>
      <c r="P24" s="698"/>
      <c r="Q24" s="698"/>
      <c r="R24" s="698"/>
      <c r="S24" s="92" t="s">
        <v>21</v>
      </c>
      <c r="T24" s="81"/>
      <c r="U24" s="81"/>
      <c r="V24" s="81"/>
    </row>
    <row r="25" spans="1:22" x14ac:dyDescent="0.2">
      <c r="A25" s="126" t="s">
        <v>24</v>
      </c>
      <c r="B25" s="125" t="s">
        <v>1</v>
      </c>
      <c r="C25" s="125" t="s">
        <v>2</v>
      </c>
      <c r="D25" s="144" t="s">
        <v>25</v>
      </c>
      <c r="E25" s="127"/>
      <c r="F25" s="80"/>
      <c r="G25" s="221" t="s">
        <v>24</v>
      </c>
      <c r="H25" s="94" t="s">
        <v>1</v>
      </c>
      <c r="I25" s="94" t="s">
        <v>2</v>
      </c>
      <c r="J25" s="94" t="s">
        <v>25</v>
      </c>
      <c r="K25" s="94" t="s">
        <v>3</v>
      </c>
      <c r="L25" s="222"/>
      <c r="M25" s="91"/>
      <c r="N25" s="93" t="s">
        <v>24</v>
      </c>
      <c r="O25" s="94" t="s">
        <v>1</v>
      </c>
      <c r="P25" s="94" t="s">
        <v>2</v>
      </c>
      <c r="Q25" s="94" t="s">
        <v>25</v>
      </c>
      <c r="R25" s="94" t="s">
        <v>6</v>
      </c>
      <c r="S25" s="96"/>
      <c r="T25" s="81"/>
      <c r="U25" s="81"/>
      <c r="V25" s="81"/>
    </row>
    <row r="26" spans="1:22" x14ac:dyDescent="0.2">
      <c r="A26" s="433"/>
      <c r="B26" s="213"/>
      <c r="C26" s="280"/>
      <c r="D26" s="203"/>
      <c r="E26" s="336"/>
      <c r="F26" s="441"/>
      <c r="G26" s="433"/>
      <c r="H26" s="213"/>
      <c r="I26" s="280"/>
      <c r="J26" s="203"/>
      <c r="K26" s="105"/>
      <c r="L26" s="223"/>
      <c r="M26" s="443"/>
      <c r="N26" s="333"/>
      <c r="O26" s="334"/>
      <c r="P26" s="279"/>
      <c r="Q26" s="105"/>
      <c r="R26" s="105"/>
      <c r="S26" s="444"/>
      <c r="T26" s="81"/>
      <c r="U26" s="81"/>
      <c r="V26" s="81"/>
    </row>
    <row r="27" spans="1:22" x14ac:dyDescent="0.2">
      <c r="A27" s="297"/>
      <c r="B27" s="214"/>
      <c r="C27" s="315"/>
      <c r="D27" s="197"/>
      <c r="E27" s="434"/>
      <c r="F27" s="441"/>
      <c r="G27" s="297"/>
      <c r="H27" s="214"/>
      <c r="I27" s="315"/>
      <c r="J27" s="197"/>
      <c r="K27" s="105"/>
      <c r="L27" s="223"/>
      <c r="M27" s="443"/>
      <c r="N27" s="461"/>
      <c r="O27" s="410"/>
      <c r="P27" s="290"/>
      <c r="Q27" s="352"/>
      <c r="R27" s="105"/>
      <c r="S27" s="444"/>
      <c r="T27" s="81"/>
      <c r="U27" s="81"/>
      <c r="V27" s="81"/>
    </row>
    <row r="28" spans="1:22" x14ac:dyDescent="0.2">
      <c r="A28" s="435"/>
      <c r="B28" s="436"/>
      <c r="C28" s="437"/>
      <c r="D28" s="352"/>
      <c r="E28" s="438"/>
      <c r="F28" s="441"/>
      <c r="G28" s="333"/>
      <c r="H28" s="334"/>
      <c r="I28" s="279"/>
      <c r="J28" s="105"/>
      <c r="K28" s="105"/>
      <c r="L28" s="223"/>
      <c r="M28" s="443"/>
      <c r="N28" s="297"/>
      <c r="O28" s="213"/>
      <c r="P28" s="280"/>
      <c r="Q28" s="352"/>
      <c r="R28" s="105"/>
      <c r="S28" s="444"/>
      <c r="T28" s="81"/>
      <c r="U28" s="81"/>
      <c r="V28" s="81"/>
    </row>
    <row r="29" spans="1:22" x14ac:dyDescent="0.2">
      <c r="A29" s="461"/>
      <c r="B29" s="410"/>
      <c r="C29" s="315"/>
      <c r="D29" s="352"/>
      <c r="E29" s="462"/>
      <c r="F29" s="441"/>
      <c r="G29" s="461"/>
      <c r="H29" s="410"/>
      <c r="I29" s="315"/>
      <c r="J29" s="463"/>
      <c r="K29" s="105"/>
      <c r="L29" s="223"/>
      <c r="M29" s="443"/>
      <c r="N29" s="297"/>
      <c r="O29" s="213"/>
      <c r="P29" s="280"/>
      <c r="Q29" s="352"/>
      <c r="R29" s="105"/>
      <c r="S29" s="444"/>
      <c r="T29" s="81"/>
      <c r="U29" s="81"/>
      <c r="V29" s="81"/>
    </row>
    <row r="30" spans="1:22" x14ac:dyDescent="0.2">
      <c r="A30" s="295"/>
      <c r="B30" s="261"/>
      <c r="C30" s="290"/>
      <c r="D30" s="352"/>
      <c r="E30" s="296"/>
      <c r="F30" s="441"/>
      <c r="G30" s="295"/>
      <c r="H30" s="261"/>
      <c r="I30" s="315"/>
      <c r="J30" s="197"/>
      <c r="K30" s="234"/>
      <c r="L30" s="225"/>
      <c r="M30" s="443"/>
      <c r="N30" s="297"/>
      <c r="O30" s="213"/>
      <c r="P30" s="280"/>
      <c r="Q30" s="105"/>
      <c r="R30" s="105"/>
      <c r="S30" s="108"/>
      <c r="T30" s="109">
        <f>SUM(O26:O28)</f>
        <v>0</v>
      </c>
      <c r="U30" s="81"/>
      <c r="V30" s="81"/>
    </row>
    <row r="31" spans="1:22" ht="16.5" customHeight="1" x14ac:dyDescent="0.2">
      <c r="A31" s="297"/>
      <c r="B31" s="213"/>
      <c r="C31" s="315"/>
      <c r="D31" s="352"/>
      <c r="E31" s="336"/>
      <c r="F31" s="441"/>
      <c r="G31" s="297"/>
      <c r="H31" s="213"/>
      <c r="I31" s="290"/>
      <c r="J31" s="352"/>
      <c r="K31" s="160"/>
      <c r="L31" s="235"/>
      <c r="M31" s="443"/>
      <c r="N31" s="297"/>
      <c r="O31" s="213"/>
      <c r="P31" s="280"/>
      <c r="Q31" s="352"/>
      <c r="R31" s="105"/>
      <c r="S31" s="444"/>
      <c r="T31" s="109"/>
      <c r="U31" s="81"/>
      <c r="V31" s="81"/>
    </row>
    <row r="32" spans="1:22" x14ac:dyDescent="0.2">
      <c r="A32" s="297"/>
      <c r="B32" s="213"/>
      <c r="C32" s="280"/>
      <c r="D32" s="352"/>
      <c r="E32" s="336"/>
      <c r="F32" s="443"/>
      <c r="G32" s="297"/>
      <c r="H32" s="213"/>
      <c r="I32" s="280"/>
      <c r="J32" s="352"/>
      <c r="K32" s="160"/>
      <c r="L32" s="235"/>
      <c r="M32" s="443"/>
      <c r="N32" s="196"/>
      <c r="O32" s="213"/>
      <c r="P32" s="280"/>
      <c r="Q32" s="352"/>
      <c r="R32" s="105"/>
      <c r="S32" s="444"/>
      <c r="T32" s="81"/>
      <c r="U32" s="81"/>
      <c r="V32" s="81"/>
    </row>
    <row r="33" spans="1:22" x14ac:dyDescent="0.2">
      <c r="A33" s="297"/>
      <c r="B33" s="213"/>
      <c r="C33" s="280"/>
      <c r="D33" s="352"/>
      <c r="E33" s="336"/>
      <c r="F33" s="447"/>
      <c r="G33" s="297"/>
      <c r="H33" s="213"/>
      <c r="I33" s="280"/>
      <c r="J33" s="352"/>
      <c r="K33" s="160"/>
      <c r="L33" s="235"/>
      <c r="M33" s="443"/>
      <c r="N33" s="102"/>
      <c r="O33" s="103"/>
      <c r="P33" s="279"/>
      <c r="Q33" s="105"/>
      <c r="R33" s="105"/>
      <c r="S33" s="444"/>
      <c r="T33" s="81"/>
      <c r="U33" s="81"/>
      <c r="V33" s="81"/>
    </row>
    <row r="34" spans="1:22" x14ac:dyDescent="0.2">
      <c r="A34" s="297"/>
      <c r="B34" s="213"/>
      <c r="C34" s="280"/>
      <c r="D34" s="352"/>
      <c r="E34" s="336"/>
      <c r="F34" s="443"/>
      <c r="G34" s="297"/>
      <c r="H34" s="213"/>
      <c r="I34" s="280"/>
      <c r="J34" s="203"/>
      <c r="K34" s="160"/>
      <c r="L34" s="235"/>
      <c r="M34" s="443"/>
      <c r="N34" s="102"/>
      <c r="O34" s="103"/>
      <c r="P34" s="279"/>
      <c r="Q34" s="105"/>
      <c r="R34" s="105"/>
      <c r="S34" s="444"/>
      <c r="T34" s="81"/>
      <c r="U34" s="81"/>
      <c r="V34" s="81"/>
    </row>
    <row r="35" spans="1:22" x14ac:dyDescent="0.2">
      <c r="A35" s="297"/>
      <c r="B35" s="213"/>
      <c r="C35" s="280"/>
      <c r="D35" s="352"/>
      <c r="E35" s="336"/>
      <c r="F35" s="443"/>
      <c r="G35" s="297"/>
      <c r="H35" s="213"/>
      <c r="I35" s="280"/>
      <c r="J35" s="352"/>
      <c r="K35" s="160"/>
      <c r="L35" s="235"/>
      <c r="M35" s="443"/>
      <c r="N35" s="102"/>
      <c r="O35" s="103"/>
      <c r="P35" s="279"/>
      <c r="Q35" s="105"/>
      <c r="R35" s="105"/>
      <c r="S35" s="444"/>
      <c r="T35" s="81"/>
      <c r="U35" s="111"/>
      <c r="V35" s="81"/>
    </row>
    <row r="36" spans="1:22" x14ac:dyDescent="0.2">
      <c r="A36" s="297"/>
      <c r="B36" s="213"/>
      <c r="C36" s="280"/>
      <c r="D36" s="352"/>
      <c r="E36" s="336"/>
      <c r="F36" s="443"/>
      <c r="G36" s="196"/>
      <c r="H36" s="213"/>
      <c r="I36" s="280"/>
      <c r="J36" s="352"/>
      <c r="K36" s="160"/>
      <c r="L36" s="235"/>
      <c r="M36" s="443"/>
      <c r="N36" s="102"/>
      <c r="O36" s="103"/>
      <c r="P36" s="279"/>
      <c r="Q36" s="105"/>
      <c r="R36" s="105"/>
      <c r="S36" s="444"/>
      <c r="T36" s="81"/>
      <c r="U36" s="81"/>
      <c r="V36" s="81"/>
    </row>
    <row r="37" spans="1:22" x14ac:dyDescent="0.2">
      <c r="A37" s="196"/>
      <c r="B37" s="213"/>
      <c r="C37" s="159"/>
      <c r="D37" s="203"/>
      <c r="E37" s="146"/>
      <c r="F37" s="441"/>
      <c r="G37" s="196"/>
      <c r="H37" s="213"/>
      <c r="I37" s="280"/>
      <c r="J37" s="228"/>
      <c r="K37" s="160"/>
      <c r="L37" s="235"/>
      <c r="M37" s="443"/>
      <c r="N37" s="102"/>
      <c r="O37" s="103"/>
      <c r="P37" s="279"/>
      <c r="Q37" s="105"/>
      <c r="R37" s="105"/>
      <c r="S37" s="444"/>
      <c r="T37" s="81"/>
      <c r="U37" s="81"/>
      <c r="V37" s="81"/>
    </row>
    <row r="38" spans="1:22" x14ac:dyDescent="0.2">
      <c r="A38" s="196"/>
      <c r="B38" s="213"/>
      <c r="C38" s="159"/>
      <c r="D38" s="203"/>
      <c r="E38" s="146"/>
      <c r="F38" s="441"/>
      <c r="G38" s="196"/>
      <c r="H38" s="322"/>
      <c r="I38" s="280"/>
      <c r="J38" s="228"/>
      <c r="K38" s="160"/>
      <c r="L38" s="235"/>
      <c r="M38" s="443"/>
      <c r="N38" s="102"/>
      <c r="O38" s="103"/>
      <c r="P38" s="279"/>
      <c r="Q38" s="105"/>
      <c r="R38" s="105"/>
      <c r="S38" s="444"/>
      <c r="T38" s="81"/>
      <c r="U38" s="81"/>
      <c r="V38" s="81"/>
    </row>
    <row r="39" spans="1:22" x14ac:dyDescent="0.2">
      <c r="A39" s="196"/>
      <c r="B39" s="322"/>
      <c r="C39" s="159"/>
      <c r="D39" s="203"/>
      <c r="E39" s="146"/>
      <c r="F39" s="441"/>
      <c r="G39" s="196"/>
      <c r="H39" s="213"/>
      <c r="I39" s="280"/>
      <c r="J39" s="228"/>
      <c r="K39" s="160"/>
      <c r="L39" s="235"/>
      <c r="M39" s="443"/>
      <c r="N39" s="102"/>
      <c r="O39" s="103"/>
      <c r="P39" s="279"/>
      <c r="Q39" s="105"/>
      <c r="R39" s="105"/>
      <c r="S39" s="444"/>
      <c r="T39" s="81"/>
      <c r="U39" s="81"/>
      <c r="V39" s="81"/>
    </row>
    <row r="40" spans="1:22" x14ac:dyDescent="0.2">
      <c r="A40" s="464"/>
      <c r="B40" s="465"/>
      <c r="C40" s="466"/>
      <c r="D40" s="467"/>
      <c r="E40" s="146"/>
      <c r="F40" s="441"/>
      <c r="G40" s="196"/>
      <c r="H40" s="213"/>
      <c r="I40" s="280"/>
      <c r="J40" s="228"/>
      <c r="K40" s="160"/>
      <c r="L40" s="235"/>
      <c r="M40" s="443"/>
      <c r="N40" s="102"/>
      <c r="O40" s="103"/>
      <c r="P40" s="279"/>
      <c r="Q40" s="105"/>
      <c r="R40" s="105"/>
      <c r="S40" s="444"/>
      <c r="T40" s="81"/>
      <c r="U40" s="81"/>
      <c r="V40" s="81"/>
    </row>
    <row r="41" spans="1:22" x14ac:dyDescent="0.2">
      <c r="A41" s="468"/>
      <c r="B41" s="322"/>
      <c r="C41" s="159"/>
      <c r="D41" s="203"/>
      <c r="E41" s="469"/>
      <c r="F41" s="441"/>
      <c r="G41" s="196"/>
      <c r="H41" s="322"/>
      <c r="I41" s="280"/>
      <c r="J41" s="228"/>
      <c r="K41" s="160"/>
      <c r="L41" s="235"/>
      <c r="M41" s="443"/>
      <c r="N41" s="102"/>
      <c r="O41" s="103"/>
      <c r="P41" s="279"/>
      <c r="Q41" s="105"/>
      <c r="R41" s="105"/>
      <c r="S41" s="444"/>
      <c r="T41" s="81"/>
      <c r="U41" s="81"/>
      <c r="V41" s="81"/>
    </row>
    <row r="42" spans="1:22" x14ac:dyDescent="0.2">
      <c r="A42" s="470"/>
      <c r="B42" s="465"/>
      <c r="C42" s="466"/>
      <c r="D42" s="467"/>
      <c r="E42" s="471"/>
      <c r="F42" s="441"/>
      <c r="G42" s="464"/>
      <c r="H42" s="465"/>
      <c r="I42" s="472"/>
      <c r="J42" s="473"/>
      <c r="K42" s="160"/>
      <c r="L42" s="235"/>
      <c r="M42" s="443"/>
      <c r="N42" s="102"/>
      <c r="O42" s="103"/>
      <c r="P42" s="279"/>
      <c r="Q42" s="105"/>
      <c r="R42" s="105"/>
      <c r="S42" s="444"/>
      <c r="T42" s="81"/>
      <c r="U42" s="81"/>
      <c r="V42" s="81"/>
    </row>
    <row r="43" spans="1:22" ht="15.75" thickBot="1" x14ac:dyDescent="0.25">
      <c r="A43" s="474"/>
      <c r="B43" s="475"/>
      <c r="C43" s="476"/>
      <c r="D43" s="476"/>
      <c r="E43" s="477"/>
      <c r="F43" s="441"/>
      <c r="G43" s="468"/>
      <c r="H43" s="322"/>
      <c r="I43" s="280"/>
      <c r="J43" s="228"/>
      <c r="K43" s="160"/>
      <c r="L43" s="235"/>
      <c r="M43" s="443"/>
      <c r="N43" s="456"/>
      <c r="O43" s="457"/>
      <c r="P43" s="458"/>
      <c r="Q43" s="459"/>
      <c r="R43" s="459"/>
      <c r="S43" s="460"/>
      <c r="T43" s="81"/>
      <c r="U43" s="81"/>
      <c r="V43" s="81"/>
    </row>
    <row r="44" spans="1:22" x14ac:dyDescent="0.2">
      <c r="A44" s="81"/>
      <c r="B44" s="81"/>
      <c r="C44" s="250"/>
      <c r="D44" s="81"/>
      <c r="E44" s="81"/>
      <c r="F44" s="81"/>
      <c r="G44" s="200"/>
      <c r="H44" s="219"/>
      <c r="I44" s="284"/>
      <c r="J44" s="232"/>
      <c r="K44" s="172"/>
      <c r="L44" s="226"/>
      <c r="M44" s="174"/>
      <c r="N44" s="81"/>
      <c r="O44" s="123">
        <f>SUM(O26:O43)</f>
        <v>0</v>
      </c>
      <c r="P44" s="81"/>
      <c r="Q44" s="81"/>
      <c r="R44" s="81"/>
      <c r="S44" s="81"/>
      <c r="T44" s="123">
        <f>O44-T31</f>
        <v>0</v>
      </c>
      <c r="U44" s="81"/>
      <c r="V44" s="81"/>
    </row>
    <row r="45" spans="1:22" ht="15.75" thickBot="1" x14ac:dyDescent="0.25">
      <c r="A45" s="81"/>
      <c r="B45" s="109"/>
      <c r="C45" s="250"/>
      <c r="D45" s="81"/>
      <c r="E45" s="81"/>
      <c r="F45" s="81"/>
      <c r="G45" s="208"/>
      <c r="H45" s="209"/>
      <c r="I45" s="285"/>
      <c r="J45" s="233"/>
      <c r="K45" s="210"/>
      <c r="L45" s="212"/>
      <c r="M45" s="81"/>
      <c r="N45" s="81"/>
      <c r="O45" s="81"/>
      <c r="P45" s="81"/>
      <c r="Q45" s="81"/>
      <c r="R45" s="81"/>
      <c r="S45" s="81"/>
      <c r="T45" s="111"/>
      <c r="U45" s="81"/>
      <c r="V45" s="81"/>
    </row>
    <row r="46" spans="1:22" x14ac:dyDescent="0.2">
      <c r="B46" s="44">
        <f>SUM(B26:B45)</f>
        <v>0</v>
      </c>
      <c r="H46" s="44"/>
    </row>
    <row r="48" spans="1:22" x14ac:dyDescent="0.2">
      <c r="H48" s="44">
        <f>SUM(H26:H47)</f>
        <v>0</v>
      </c>
    </row>
    <row r="50" spans="7:8" x14ac:dyDescent="0.2">
      <c r="G50" s="40" t="s">
        <v>27</v>
      </c>
      <c r="H50" s="41">
        <f>H48-O44</f>
        <v>0</v>
      </c>
    </row>
  </sheetData>
  <mergeCells count="4">
    <mergeCell ref="O2:P2"/>
    <mergeCell ref="A24:E24"/>
    <mergeCell ref="G24:K24"/>
    <mergeCell ref="N24:R24"/>
  </mergeCells>
  <conditionalFormatting sqref="D2:D16">
    <cfRule type="iconSet" priority="1">
      <iconSet showValue="0">
        <cfvo type="percent" val="0"/>
        <cfvo type="num" val="0" gte="0"/>
        <cfvo type="num" val="2"/>
      </iconSet>
    </cfRule>
    <cfRule type="iconSet" priority="2">
      <iconSet showValue="0">
        <cfvo type="percent" val="0"/>
        <cfvo type="num" val="0"/>
        <cfvo type="num" val="2"/>
      </iconSet>
    </cfRule>
  </conditionalFormatting>
  <dataValidations count="1">
    <dataValidation type="date" allowBlank="1" showInputMessage="1" showErrorMessage="1" sqref="C3:C16" xr:uid="{C31C822C-DB93-7949-96ED-AF05892D5D55}">
      <formula1>45658</formula1>
      <formula2>46022</formula2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6E5BAFFA-537A-864F-8B7B-4893EFB81EFE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TrafficLights1" iconId="1"/>
              <x14:cfIcon iconSet="4RedToBlack" iconId="3"/>
              <x14:cfIcon iconSet="3Symbols" iconId="2"/>
            </x14:iconSet>
          </x14:cfRule>
          <x14:cfRule type="iconSet" priority="4" id="{7A0E83DD-8EB7-DE43-AE9F-ADA9162A574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D2:D16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6417-EE9A-F144-A2D3-B2C870F2735F}">
  <sheetPr>
    <tabColor rgb="FFFF0000"/>
  </sheetPr>
  <dimension ref="A1:V55"/>
  <sheetViews>
    <sheetView topLeftCell="A17" zoomScaleNormal="150" zoomScaleSheetLayoutView="100" workbookViewId="0">
      <selection activeCell="G60" sqref="G60"/>
    </sheetView>
  </sheetViews>
  <sheetFormatPr defaultColWidth="8.875" defaultRowHeight="15" x14ac:dyDescent="0.2"/>
  <cols>
    <col min="1" max="1" width="16.54296875" customWidth="1"/>
    <col min="2" max="2" width="19.1015625" customWidth="1"/>
    <col min="3" max="3" width="22.734375" style="152" customWidth="1"/>
    <col min="4" max="4" width="8.47265625" bestFit="1" customWidth="1"/>
    <col min="5" max="5" width="12.23828125" bestFit="1" customWidth="1"/>
    <col min="6" max="6" width="28.515625" customWidth="1"/>
    <col min="7" max="7" width="15.46875" customWidth="1"/>
    <col min="8" max="8" width="11.56640625" bestFit="1" customWidth="1"/>
    <col min="9" max="9" width="11.97265625" customWidth="1"/>
    <col min="10" max="10" width="9.01171875" bestFit="1" customWidth="1"/>
    <col min="11" max="11" width="10.0859375" bestFit="1" customWidth="1"/>
    <col min="12" max="12" width="11.02734375" bestFit="1" customWidth="1"/>
    <col min="13" max="13" width="12.23828125" bestFit="1" customWidth="1"/>
    <col min="14" max="14" width="14.125" bestFit="1" customWidth="1"/>
    <col min="15" max="15" width="11.296875" bestFit="1" customWidth="1"/>
    <col min="16" max="16" width="13.1796875" customWidth="1"/>
    <col min="17" max="18" width="8.47265625" bestFit="1" customWidth="1"/>
    <col min="19" max="19" width="19.37109375" customWidth="1"/>
    <col min="20" max="20" width="11.02734375" bestFit="1" customWidth="1"/>
    <col min="21" max="21" width="9.4140625" bestFit="1" customWidth="1"/>
  </cols>
  <sheetData>
    <row r="1" spans="1:22" ht="15.75" thickBot="1" x14ac:dyDescent="0.25">
      <c r="A1" s="354" t="s">
        <v>0</v>
      </c>
      <c r="B1" s="355" t="s">
        <v>1</v>
      </c>
      <c r="C1" s="237" t="s">
        <v>2</v>
      </c>
      <c r="D1" s="243" t="s">
        <v>3</v>
      </c>
      <c r="E1" s="244" t="s">
        <v>4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1"/>
      <c r="T1" s="81"/>
      <c r="U1" s="81"/>
      <c r="V1" s="81"/>
    </row>
    <row r="2" spans="1:22" x14ac:dyDescent="0.2">
      <c r="A2" s="356" t="s">
        <v>35</v>
      </c>
      <c r="B2" s="432">
        <v>1000</v>
      </c>
      <c r="C2" s="357"/>
      <c r="D2" s="358">
        <v>2</v>
      </c>
      <c r="E2" s="359"/>
      <c r="F2" s="80"/>
      <c r="G2" s="80"/>
      <c r="H2" s="80"/>
      <c r="I2" s="80"/>
      <c r="J2" s="80"/>
      <c r="K2" s="80"/>
      <c r="L2" s="80"/>
      <c r="M2" s="80"/>
      <c r="N2" s="80"/>
      <c r="O2" s="692" t="s">
        <v>7</v>
      </c>
      <c r="P2" s="693"/>
      <c r="Q2" s="80"/>
      <c r="R2" s="80"/>
      <c r="S2" s="81"/>
      <c r="T2" s="81"/>
      <c r="U2" s="81"/>
      <c r="V2" s="81"/>
    </row>
    <row r="3" spans="1:22" x14ac:dyDescent="0.2">
      <c r="A3" s="82" t="s">
        <v>5</v>
      </c>
      <c r="B3" s="67">
        <v>56</v>
      </c>
      <c r="C3" s="353"/>
      <c r="D3" s="148">
        <v>2</v>
      </c>
      <c r="E3" s="360"/>
      <c r="F3" s="80"/>
      <c r="G3" s="80"/>
      <c r="H3" s="80"/>
      <c r="I3" s="80"/>
      <c r="J3" s="80"/>
      <c r="K3" s="80"/>
      <c r="L3" s="80"/>
      <c r="M3" s="80"/>
      <c r="N3" s="80"/>
      <c r="O3" s="83"/>
      <c r="P3" s="84"/>
      <c r="Q3" s="80"/>
      <c r="R3" s="80"/>
      <c r="S3" s="81"/>
      <c r="T3" s="81"/>
      <c r="U3" s="81"/>
      <c r="V3" s="81"/>
    </row>
    <row r="4" spans="1:22" x14ac:dyDescent="0.2">
      <c r="A4" s="82" t="s">
        <v>9</v>
      </c>
      <c r="B4" s="67">
        <v>1060</v>
      </c>
      <c r="C4" s="353"/>
      <c r="D4" s="197">
        <v>0</v>
      </c>
      <c r="E4" s="360"/>
      <c r="F4" s="80"/>
      <c r="G4" s="80"/>
      <c r="H4" s="80"/>
      <c r="I4" s="80"/>
      <c r="J4" s="80"/>
      <c r="K4" s="80"/>
      <c r="L4" s="278"/>
      <c r="M4" s="80"/>
      <c r="N4" s="80"/>
      <c r="O4" s="85"/>
      <c r="P4" s="86"/>
      <c r="Q4" s="80"/>
      <c r="R4" s="80"/>
      <c r="S4" s="81"/>
      <c r="T4" s="81"/>
      <c r="U4" s="81"/>
      <c r="V4" s="81"/>
    </row>
    <row r="5" spans="1:22" x14ac:dyDescent="0.2">
      <c r="A5" s="82" t="s">
        <v>12</v>
      </c>
      <c r="B5" s="67">
        <v>780</v>
      </c>
      <c r="C5" s="353"/>
      <c r="D5" s="148">
        <v>2</v>
      </c>
      <c r="E5" s="360"/>
      <c r="F5" s="426">
        <v>12152</v>
      </c>
      <c r="G5" s="80"/>
      <c r="H5" s="80"/>
      <c r="I5" s="80"/>
      <c r="J5" s="80"/>
      <c r="K5" s="80"/>
      <c r="L5" s="80"/>
      <c r="M5" s="80"/>
      <c r="N5" s="80"/>
      <c r="O5" s="85"/>
      <c r="P5" s="86"/>
      <c r="Q5" s="80"/>
      <c r="R5" s="80"/>
      <c r="S5" s="81"/>
      <c r="T5" s="81"/>
      <c r="U5" s="81"/>
      <c r="V5" s="81"/>
    </row>
    <row r="6" spans="1:22" x14ac:dyDescent="0.2">
      <c r="A6" s="82" t="s">
        <v>17</v>
      </c>
      <c r="B6" s="67">
        <v>1500</v>
      </c>
      <c r="C6" s="353"/>
      <c r="D6" s="148">
        <v>0</v>
      </c>
      <c r="E6" s="360"/>
      <c r="F6" s="80"/>
      <c r="G6" s="80"/>
      <c r="H6" s="80"/>
      <c r="I6" s="80"/>
      <c r="J6" s="80"/>
      <c r="K6" s="80"/>
      <c r="L6" s="80"/>
      <c r="M6" s="428"/>
      <c r="N6" s="80"/>
      <c r="O6" s="85"/>
      <c r="P6" s="86"/>
      <c r="Q6" s="80"/>
      <c r="R6" s="80"/>
      <c r="S6" s="81"/>
      <c r="T6" s="81"/>
      <c r="U6" s="81"/>
      <c r="V6" s="81"/>
    </row>
    <row r="7" spans="1:22" x14ac:dyDescent="0.2">
      <c r="A7" s="82" t="s">
        <v>38</v>
      </c>
      <c r="B7" s="67">
        <v>143</v>
      </c>
      <c r="C7" s="353"/>
      <c r="D7" s="148">
        <v>3</v>
      </c>
      <c r="E7" s="360"/>
      <c r="F7" s="80"/>
      <c r="L7" s="80"/>
      <c r="M7" s="428"/>
      <c r="N7" s="80"/>
      <c r="O7" s="85"/>
      <c r="P7" s="86"/>
      <c r="Q7" s="80"/>
      <c r="R7" s="80"/>
      <c r="S7" s="81"/>
      <c r="T7" s="81"/>
      <c r="U7" s="81"/>
      <c r="V7" s="81"/>
    </row>
    <row r="8" spans="1:22" x14ac:dyDescent="0.2">
      <c r="A8" s="82" t="s">
        <v>19</v>
      </c>
      <c r="B8" s="67">
        <v>400</v>
      </c>
      <c r="C8" s="353"/>
      <c r="D8" s="148">
        <v>0</v>
      </c>
      <c r="E8" s="360"/>
      <c r="F8" s="80"/>
      <c r="L8" s="80"/>
      <c r="M8" s="428"/>
      <c r="N8" s="80"/>
      <c r="O8" s="85"/>
      <c r="P8" s="86"/>
      <c r="Q8" s="80"/>
      <c r="R8" s="80"/>
      <c r="S8" s="81"/>
      <c r="T8" s="81"/>
      <c r="U8" s="81"/>
      <c r="V8" s="81"/>
    </row>
    <row r="9" spans="1:22" x14ac:dyDescent="0.2">
      <c r="A9" s="82" t="s">
        <v>14</v>
      </c>
      <c r="B9" s="67">
        <v>200</v>
      </c>
      <c r="C9" s="353"/>
      <c r="D9" s="148">
        <v>2</v>
      </c>
      <c r="E9" s="360"/>
      <c r="F9" s="80"/>
      <c r="L9" s="80"/>
      <c r="M9" s="428"/>
      <c r="N9" s="80"/>
      <c r="O9" s="85"/>
      <c r="P9" s="86"/>
      <c r="Q9" s="80"/>
      <c r="R9" s="80"/>
      <c r="S9" s="81"/>
      <c r="T9" s="81"/>
      <c r="U9" s="81"/>
      <c r="V9" s="81"/>
    </row>
    <row r="10" spans="1:22" x14ac:dyDescent="0.2">
      <c r="A10" s="82" t="s">
        <v>13</v>
      </c>
      <c r="B10" s="67">
        <v>360</v>
      </c>
      <c r="C10" s="353"/>
      <c r="D10" s="148">
        <v>0</v>
      </c>
      <c r="E10" s="360"/>
      <c r="F10" s="80"/>
      <c r="L10" s="80"/>
      <c r="M10" s="428"/>
      <c r="N10" s="80"/>
      <c r="O10" s="85"/>
      <c r="P10" s="86"/>
      <c r="Q10" s="80"/>
      <c r="R10" s="80"/>
      <c r="S10" s="81"/>
      <c r="T10" s="81"/>
      <c r="U10" s="81"/>
      <c r="V10" s="81"/>
    </row>
    <row r="11" spans="1:22" x14ac:dyDescent="0.2">
      <c r="A11" s="82" t="s">
        <v>8</v>
      </c>
      <c r="B11" s="67">
        <v>350</v>
      </c>
      <c r="C11" s="353"/>
      <c r="D11" s="148">
        <v>2</v>
      </c>
      <c r="E11" s="360"/>
      <c r="F11" s="87"/>
      <c r="L11" s="80"/>
      <c r="M11" s="428"/>
      <c r="N11" s="80"/>
      <c r="O11" s="85"/>
      <c r="P11" s="86"/>
      <c r="Q11" s="80"/>
      <c r="R11" s="80"/>
      <c r="S11" s="81"/>
      <c r="T11" s="81"/>
      <c r="U11" s="81"/>
      <c r="V11" s="81"/>
    </row>
    <row r="12" spans="1:22" x14ac:dyDescent="0.2">
      <c r="A12" s="82" t="s">
        <v>11</v>
      </c>
      <c r="B12" s="67">
        <v>500</v>
      </c>
      <c r="C12" s="353"/>
      <c r="D12" s="148">
        <v>0</v>
      </c>
      <c r="E12" s="360"/>
      <c r="F12" s="80"/>
      <c r="L12" s="80"/>
      <c r="M12" s="427"/>
      <c r="N12" s="80"/>
      <c r="O12" s="85"/>
      <c r="P12" s="86"/>
      <c r="Q12" s="80"/>
      <c r="R12" s="80"/>
      <c r="S12" s="81"/>
      <c r="T12" s="81"/>
      <c r="U12" s="81"/>
      <c r="V12" s="81"/>
    </row>
    <row r="13" spans="1:22" x14ac:dyDescent="0.2">
      <c r="A13" s="82" t="s">
        <v>10</v>
      </c>
      <c r="B13" s="67">
        <v>230</v>
      </c>
      <c r="C13" s="353"/>
      <c r="D13" s="148">
        <v>1</v>
      </c>
      <c r="E13" s="360">
        <v>90</v>
      </c>
      <c r="F13" s="80" t="s">
        <v>63</v>
      </c>
      <c r="L13" s="80"/>
      <c r="M13" s="428"/>
      <c r="N13" s="80"/>
      <c r="O13" s="85"/>
      <c r="P13" s="86"/>
      <c r="Q13" s="80"/>
      <c r="R13" s="80"/>
      <c r="S13" s="81"/>
      <c r="T13" s="81"/>
      <c r="U13" s="81"/>
      <c r="V13" s="81"/>
    </row>
    <row r="14" spans="1:22" x14ac:dyDescent="0.2">
      <c r="A14" s="82" t="s">
        <v>18</v>
      </c>
      <c r="B14" s="67">
        <v>1503</v>
      </c>
      <c r="C14" s="353"/>
      <c r="D14" s="148">
        <v>2</v>
      </c>
      <c r="E14" s="360"/>
      <c r="F14" s="80"/>
      <c r="L14" s="80"/>
      <c r="M14" s="429"/>
      <c r="N14" s="80"/>
      <c r="O14" s="85"/>
      <c r="P14" s="86"/>
      <c r="Q14" s="80"/>
      <c r="R14" s="80"/>
      <c r="S14" s="81"/>
      <c r="T14" s="81"/>
      <c r="U14" s="81"/>
      <c r="V14" s="81"/>
    </row>
    <row r="15" spans="1:22" x14ac:dyDescent="0.2">
      <c r="A15" s="82"/>
      <c r="B15" s="67"/>
      <c r="C15" s="353"/>
      <c r="D15" s="197">
        <v>12</v>
      </c>
      <c r="E15" s="360"/>
      <c r="F15" s="80"/>
      <c r="L15" s="80"/>
      <c r="M15" s="80"/>
      <c r="N15" s="80"/>
      <c r="O15" s="85"/>
      <c r="P15" s="86">
        <f>SUM(P3:P14)</f>
        <v>0</v>
      </c>
      <c r="Q15" s="80"/>
      <c r="R15" s="80"/>
      <c r="S15" s="81"/>
      <c r="T15" s="81"/>
      <c r="U15" s="81"/>
      <c r="V15" s="81"/>
    </row>
    <row r="16" spans="1:22" ht="15.75" thickBot="1" x14ac:dyDescent="0.25">
      <c r="A16" s="130"/>
      <c r="B16" s="124"/>
      <c r="C16" s="361"/>
      <c r="D16" s="362">
        <v>3</v>
      </c>
      <c r="E16" s="363"/>
      <c r="F16" s="80"/>
      <c r="G16" s="248"/>
      <c r="L16" s="80"/>
      <c r="M16" s="428"/>
      <c r="N16" s="80"/>
      <c r="O16" s="80"/>
      <c r="P16" s="80"/>
      <c r="Q16" s="80"/>
      <c r="R16" s="80"/>
      <c r="S16" s="81"/>
      <c r="T16" s="81"/>
      <c r="U16" s="81"/>
      <c r="V16" s="81"/>
    </row>
    <row r="17" spans="1:22" x14ac:dyDescent="0.2">
      <c r="A17" s="8"/>
      <c r="B17" s="8"/>
      <c r="C17" s="8"/>
      <c r="E17" s="8"/>
      <c r="F17" s="80"/>
      <c r="L17" s="80"/>
      <c r="M17" s="80"/>
      <c r="N17" s="80"/>
      <c r="O17" s="80"/>
      <c r="P17" s="80"/>
      <c r="Q17" s="80"/>
      <c r="R17" s="80"/>
      <c r="S17" s="81"/>
      <c r="T17" s="81"/>
      <c r="U17" s="81"/>
      <c r="V17" s="81"/>
    </row>
    <row r="18" spans="1:22" x14ac:dyDescent="0.2">
      <c r="A18" s="8"/>
      <c r="B18" s="14">
        <f>SUM(B2:B17)</f>
        <v>8082</v>
      </c>
      <c r="C18" s="8"/>
      <c r="D18" s="143"/>
      <c r="E18" s="14">
        <f>SUM(E2:E17)</f>
        <v>90</v>
      </c>
      <c r="F18" s="426">
        <f>F5-B18</f>
        <v>4070</v>
      </c>
      <c r="G18" s="80" t="s">
        <v>64</v>
      </c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1"/>
      <c r="T18" s="81"/>
      <c r="U18" s="81"/>
      <c r="V18" s="81"/>
    </row>
    <row r="19" spans="1:22" x14ac:dyDescent="0.2">
      <c r="A19" s="8"/>
      <c r="B19" s="8"/>
      <c r="C19" s="8"/>
      <c r="D19" s="143"/>
      <c r="E19" s="8"/>
      <c r="F19" s="115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1"/>
      <c r="T19" s="81"/>
      <c r="U19" s="81"/>
      <c r="V19" s="81"/>
    </row>
    <row r="20" spans="1:22" x14ac:dyDescent="0.2">
      <c r="A20" s="8"/>
      <c r="B20" s="8"/>
      <c r="C20" s="8"/>
      <c r="D20" s="143"/>
      <c r="E20" s="8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1"/>
      <c r="T20" s="81"/>
      <c r="U20" s="81"/>
      <c r="V20" s="81"/>
    </row>
    <row r="21" spans="1:22" x14ac:dyDescent="0.2">
      <c r="A21" s="8"/>
      <c r="B21" s="8"/>
      <c r="C21" s="8"/>
      <c r="D21" s="143"/>
      <c r="E21" s="8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  <c r="T21" s="81"/>
      <c r="U21" s="81"/>
      <c r="V21" s="81"/>
    </row>
    <row r="22" spans="1:22" x14ac:dyDescent="0.2">
      <c r="A22" s="8"/>
      <c r="B22" s="8"/>
      <c r="C22" s="8"/>
      <c r="D22" s="143"/>
      <c r="E22" s="8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1"/>
      <c r="T22" s="81"/>
      <c r="U22" s="81"/>
      <c r="V22" s="81"/>
    </row>
    <row r="23" spans="1:22" ht="15.75" thickBot="1" x14ac:dyDescent="0.25">
      <c r="A23" s="8"/>
      <c r="B23" s="8"/>
      <c r="C23" s="8"/>
      <c r="D23" s="143"/>
      <c r="E23" s="8"/>
      <c r="F23" s="80"/>
      <c r="G23" s="80"/>
      <c r="H23" s="80"/>
      <c r="I23" s="80"/>
      <c r="J23" s="80"/>
      <c r="K23" s="80"/>
      <c r="L23" s="80"/>
      <c r="M23" s="89"/>
      <c r="N23" s="80"/>
      <c r="O23" s="80"/>
      <c r="P23" s="80"/>
      <c r="Q23" s="80"/>
      <c r="R23" s="80"/>
      <c r="S23" s="81"/>
      <c r="T23" s="81"/>
      <c r="U23" s="81"/>
      <c r="V23" s="81"/>
    </row>
    <row r="24" spans="1:22" ht="15.75" thickBot="1" x14ac:dyDescent="0.25">
      <c r="A24" s="723" t="s">
        <v>30</v>
      </c>
      <c r="B24" s="724"/>
      <c r="C24" s="724"/>
      <c r="D24" s="724"/>
      <c r="E24" s="725"/>
      <c r="F24" s="80"/>
      <c r="G24" s="702" t="s">
        <v>20</v>
      </c>
      <c r="H24" s="703"/>
      <c r="I24" s="703"/>
      <c r="J24" s="703"/>
      <c r="K24" s="704"/>
      <c r="L24" s="220" t="s">
        <v>21</v>
      </c>
      <c r="M24" s="91"/>
      <c r="N24" s="697" t="s">
        <v>22</v>
      </c>
      <c r="O24" s="698"/>
      <c r="P24" s="698"/>
      <c r="Q24" s="698"/>
      <c r="R24" s="698"/>
      <c r="S24" s="92" t="s">
        <v>21</v>
      </c>
      <c r="T24" s="81"/>
      <c r="U24" s="81"/>
      <c r="V24" s="81"/>
    </row>
    <row r="25" spans="1:22" x14ac:dyDescent="0.2">
      <c r="A25" s="388" t="s">
        <v>24</v>
      </c>
      <c r="B25" s="383" t="s">
        <v>1</v>
      </c>
      <c r="C25" s="383" t="s">
        <v>2</v>
      </c>
      <c r="D25" s="384" t="s">
        <v>25</v>
      </c>
      <c r="E25" s="389"/>
      <c r="F25" s="80"/>
      <c r="G25" s="403" t="s">
        <v>24</v>
      </c>
      <c r="H25" s="404" t="s">
        <v>1</v>
      </c>
      <c r="I25" s="404" t="s">
        <v>2</v>
      </c>
      <c r="J25" s="404" t="s">
        <v>25</v>
      </c>
      <c r="K25" s="404" t="s">
        <v>3</v>
      </c>
      <c r="L25" s="405"/>
      <c r="M25" s="91"/>
      <c r="N25" s="93" t="s">
        <v>24</v>
      </c>
      <c r="O25" s="94" t="s">
        <v>1</v>
      </c>
      <c r="P25" s="94" t="s">
        <v>2</v>
      </c>
      <c r="Q25" s="94" t="s">
        <v>25</v>
      </c>
      <c r="R25" s="94" t="s">
        <v>6</v>
      </c>
      <c r="S25" s="96"/>
      <c r="T25" s="81"/>
      <c r="U25" s="81"/>
      <c r="V25" s="81"/>
    </row>
    <row r="26" spans="1:22" x14ac:dyDescent="0.2">
      <c r="A26" s="440"/>
      <c r="B26" s="399"/>
      <c r="C26" s="381"/>
      <c r="D26" s="382"/>
      <c r="E26" s="392"/>
      <c r="F26" s="441"/>
      <c r="G26" s="440"/>
      <c r="H26" s="442"/>
      <c r="I26" s="381"/>
      <c r="J26" s="382"/>
      <c r="K26" s="402"/>
      <c r="L26" s="406"/>
      <c r="M26" s="443"/>
      <c r="N26" s="333"/>
      <c r="O26" s="334"/>
      <c r="P26" s="279"/>
      <c r="Q26" s="105"/>
      <c r="R26" s="105"/>
      <c r="S26" s="444"/>
      <c r="T26" s="81"/>
      <c r="U26" s="81"/>
      <c r="V26" s="81"/>
    </row>
    <row r="27" spans="1:22" x14ac:dyDescent="0.2">
      <c r="A27" s="390"/>
      <c r="B27" s="398"/>
      <c r="C27" s="288"/>
      <c r="D27" s="265"/>
      <c r="E27" s="391"/>
      <c r="F27" s="441"/>
      <c r="G27" s="390"/>
      <c r="H27" s="410"/>
      <c r="I27" s="288"/>
      <c r="J27" s="265"/>
      <c r="K27" s="402"/>
      <c r="L27" s="406"/>
      <c r="M27" s="443"/>
      <c r="N27" s="390"/>
      <c r="O27" s="399"/>
      <c r="P27" s="381"/>
      <c r="Q27" s="265"/>
      <c r="R27" s="105"/>
      <c r="S27" s="444"/>
      <c r="T27" s="81"/>
      <c r="U27" s="81"/>
      <c r="V27" s="81"/>
    </row>
    <row r="28" spans="1:22" x14ac:dyDescent="0.2">
      <c r="A28" s="390"/>
      <c r="B28" s="398"/>
      <c r="C28" s="288"/>
      <c r="D28" s="265"/>
      <c r="E28" s="391"/>
      <c r="F28" s="441"/>
      <c r="G28" s="390"/>
      <c r="H28" s="399"/>
      <c r="I28" s="288"/>
      <c r="J28" s="265"/>
      <c r="K28" s="382"/>
      <c r="L28" s="406"/>
      <c r="M28" s="443"/>
      <c r="N28" s="390"/>
      <c r="O28" s="399"/>
      <c r="P28" s="381"/>
      <c r="Q28" s="265"/>
      <c r="R28" s="105"/>
      <c r="S28" s="444"/>
      <c r="T28" s="81"/>
      <c r="U28" s="81"/>
      <c r="V28" s="81"/>
    </row>
    <row r="29" spans="1:22" x14ac:dyDescent="0.2">
      <c r="A29" s="390"/>
      <c r="B29" s="399"/>
      <c r="C29" s="288"/>
      <c r="D29" s="265"/>
      <c r="E29" s="392"/>
      <c r="F29" s="441"/>
      <c r="G29" s="390"/>
      <c r="H29" s="398"/>
      <c r="I29" s="288"/>
      <c r="J29" s="265"/>
      <c r="K29" s="265"/>
      <c r="L29" s="406"/>
      <c r="M29" s="443"/>
      <c r="N29" s="390"/>
      <c r="O29" s="398"/>
      <c r="P29" s="288"/>
      <c r="Q29" s="265"/>
      <c r="R29" s="105"/>
      <c r="S29" s="444"/>
      <c r="T29" s="81"/>
      <c r="U29" s="81"/>
      <c r="V29" s="81"/>
    </row>
    <row r="30" spans="1:22" x14ac:dyDescent="0.2">
      <c r="A30" s="390"/>
      <c r="B30" s="398"/>
      <c r="C30" s="288"/>
      <c r="D30" s="265"/>
      <c r="E30" s="391"/>
      <c r="F30" s="441"/>
      <c r="G30" s="390"/>
      <c r="H30" s="398"/>
      <c r="I30" s="288"/>
      <c r="J30" s="265"/>
      <c r="K30" s="265"/>
      <c r="L30" s="406"/>
      <c r="M30" s="443"/>
      <c r="N30" s="390"/>
      <c r="O30" s="398"/>
      <c r="P30" s="288"/>
      <c r="Q30" s="265"/>
      <c r="R30" s="105"/>
      <c r="S30" s="108"/>
      <c r="T30" s="109">
        <f>SUM(O26:O28)</f>
        <v>0</v>
      </c>
      <c r="U30" s="81"/>
      <c r="V30" s="81"/>
    </row>
    <row r="31" spans="1:22" ht="16.5" customHeight="1" x14ac:dyDescent="0.2">
      <c r="A31" s="390"/>
      <c r="B31" s="398"/>
      <c r="C31" s="288"/>
      <c r="D31" s="265"/>
      <c r="E31" s="391"/>
      <c r="F31" s="441"/>
      <c r="G31" s="390"/>
      <c r="H31" s="399"/>
      <c r="I31" s="381"/>
      <c r="J31" s="265"/>
      <c r="K31" s="382"/>
      <c r="L31" s="406"/>
      <c r="M31" s="443"/>
      <c r="N31" s="390"/>
      <c r="O31" s="398"/>
      <c r="P31" s="288"/>
      <c r="Q31" s="265"/>
      <c r="R31" s="105"/>
      <c r="S31" s="444"/>
      <c r="T31" s="109"/>
      <c r="U31" s="81"/>
      <c r="V31" s="81"/>
    </row>
    <row r="32" spans="1:22" x14ac:dyDescent="0.2">
      <c r="A32" s="390"/>
      <c r="B32" s="399"/>
      <c r="C32" s="381"/>
      <c r="D32" s="265"/>
      <c r="E32" s="392"/>
      <c r="F32" s="443"/>
      <c r="G32" s="390"/>
      <c r="H32" s="399"/>
      <c r="I32" s="381"/>
      <c r="J32" s="265"/>
      <c r="K32" s="402"/>
      <c r="L32" s="406"/>
      <c r="M32" s="443"/>
      <c r="N32" s="445"/>
      <c r="O32" s="446"/>
      <c r="P32" s="381"/>
      <c r="Q32" s="382"/>
      <c r="R32" s="105"/>
      <c r="S32" s="444"/>
      <c r="T32" s="81"/>
      <c r="U32" s="81"/>
      <c r="V32" s="81"/>
    </row>
    <row r="33" spans="1:22" x14ac:dyDescent="0.2">
      <c r="A33" s="390"/>
      <c r="B33" s="399"/>
      <c r="C33" s="381"/>
      <c r="D33" s="265"/>
      <c r="E33" s="392"/>
      <c r="F33" s="447"/>
      <c r="G33" s="390"/>
      <c r="H33" s="399"/>
      <c r="I33" s="381"/>
      <c r="J33" s="265"/>
      <c r="K33" s="402"/>
      <c r="L33" s="406"/>
      <c r="M33" s="443"/>
      <c r="N33" s="102"/>
      <c r="O33" s="103"/>
      <c r="P33" s="279"/>
      <c r="Q33" s="105"/>
      <c r="R33" s="105"/>
      <c r="S33" s="444"/>
      <c r="T33" s="81"/>
      <c r="U33" s="81"/>
      <c r="V33" s="81"/>
    </row>
    <row r="34" spans="1:22" x14ac:dyDescent="0.2">
      <c r="A34" s="390"/>
      <c r="B34" s="399"/>
      <c r="C34" s="381"/>
      <c r="D34" s="265"/>
      <c r="E34" s="392"/>
      <c r="F34" s="443"/>
      <c r="G34" s="390"/>
      <c r="H34" s="399"/>
      <c r="I34" s="381"/>
      <c r="J34" s="265"/>
      <c r="K34" s="402"/>
      <c r="L34" s="406"/>
      <c r="M34" s="443"/>
      <c r="N34" s="102"/>
      <c r="O34" s="103"/>
      <c r="P34" s="279"/>
      <c r="Q34" s="105"/>
      <c r="R34" s="105"/>
      <c r="S34" s="444"/>
      <c r="T34" s="81"/>
      <c r="U34" s="81"/>
      <c r="V34" s="81"/>
    </row>
    <row r="35" spans="1:22" x14ac:dyDescent="0.2">
      <c r="A35" s="390"/>
      <c r="B35" s="399"/>
      <c r="C35" s="381"/>
      <c r="D35" s="265"/>
      <c r="E35" s="392"/>
      <c r="F35" s="443"/>
      <c r="G35" s="390"/>
      <c r="H35" s="398"/>
      <c r="I35" s="288"/>
      <c r="J35" s="265"/>
      <c r="K35" s="402"/>
      <c r="L35" s="406"/>
      <c r="M35" s="443"/>
      <c r="N35" s="102"/>
      <c r="O35" s="103"/>
      <c r="P35" s="279"/>
      <c r="Q35" s="105"/>
      <c r="R35" s="105"/>
      <c r="S35" s="444"/>
      <c r="T35" s="81"/>
      <c r="U35" s="111"/>
      <c r="V35" s="81"/>
    </row>
    <row r="36" spans="1:22" x14ac:dyDescent="0.2">
      <c r="A36" s="390"/>
      <c r="B36" s="398"/>
      <c r="C36" s="288"/>
      <c r="D36" s="265"/>
      <c r="E36" s="391"/>
      <c r="F36" s="443"/>
      <c r="G36" s="390"/>
      <c r="H36" s="398"/>
      <c r="I36" s="288"/>
      <c r="J36" s="265"/>
      <c r="K36" s="402"/>
      <c r="L36" s="406"/>
      <c r="M36" s="443"/>
      <c r="N36" s="102"/>
      <c r="O36" s="103"/>
      <c r="P36" s="279"/>
      <c r="Q36" s="105"/>
      <c r="R36" s="105"/>
      <c r="S36" s="444"/>
      <c r="T36" s="81"/>
      <c r="U36" s="81"/>
      <c r="V36" s="81"/>
    </row>
    <row r="37" spans="1:22" x14ac:dyDescent="0.2">
      <c r="A37" s="390"/>
      <c r="B37" s="398"/>
      <c r="C37" s="288"/>
      <c r="D37" s="265"/>
      <c r="E37" s="391"/>
      <c r="F37" s="441"/>
      <c r="G37" s="390"/>
      <c r="H37" s="398"/>
      <c r="I37" s="288"/>
      <c r="J37" s="265"/>
      <c r="K37" s="402"/>
      <c r="L37" s="406"/>
      <c r="M37" s="443"/>
      <c r="N37" s="102"/>
      <c r="O37" s="103"/>
      <c r="P37" s="279"/>
      <c r="Q37" s="105"/>
      <c r="R37" s="105"/>
      <c r="S37" s="444"/>
      <c r="T37" s="81"/>
      <c r="U37" s="81"/>
      <c r="V37" s="81"/>
    </row>
    <row r="38" spans="1:22" x14ac:dyDescent="0.2">
      <c r="A38" s="390"/>
      <c r="B38" s="398"/>
      <c r="C38" s="288"/>
      <c r="D38" s="265"/>
      <c r="E38" s="391"/>
      <c r="F38" s="441"/>
      <c r="G38" s="390"/>
      <c r="H38" s="398"/>
      <c r="I38" s="288"/>
      <c r="J38" s="265"/>
      <c r="K38" s="402"/>
      <c r="L38" s="406"/>
      <c r="M38" s="443"/>
      <c r="N38" s="102"/>
      <c r="O38" s="103"/>
      <c r="P38" s="279"/>
      <c r="Q38" s="105"/>
      <c r="R38" s="105"/>
      <c r="S38" s="444"/>
      <c r="T38" s="81"/>
      <c r="U38" s="81"/>
      <c r="V38" s="81"/>
    </row>
    <row r="39" spans="1:22" x14ac:dyDescent="0.2">
      <c r="A39" s="390"/>
      <c r="B39" s="398"/>
      <c r="C39" s="288"/>
      <c r="D39" s="265"/>
      <c r="E39" s="391"/>
      <c r="F39" s="441"/>
      <c r="G39" s="390"/>
      <c r="H39" s="398"/>
      <c r="I39" s="288"/>
      <c r="J39" s="265"/>
      <c r="K39" s="402"/>
      <c r="L39" s="406"/>
      <c r="M39" s="443"/>
      <c r="N39" s="102"/>
      <c r="O39" s="103"/>
      <c r="P39" s="279"/>
      <c r="Q39" s="105"/>
      <c r="R39" s="105"/>
      <c r="S39" s="444"/>
      <c r="T39" s="81"/>
      <c r="U39" s="81"/>
      <c r="V39" s="81"/>
    </row>
    <row r="40" spans="1:22" x14ac:dyDescent="0.2">
      <c r="A40" s="445"/>
      <c r="B40" s="446"/>
      <c r="C40" s="381"/>
      <c r="D40" s="382"/>
      <c r="E40" s="392"/>
      <c r="F40" s="441"/>
      <c r="G40" s="445"/>
      <c r="H40" s="446"/>
      <c r="I40" s="381"/>
      <c r="J40" s="382"/>
      <c r="K40" s="402"/>
      <c r="L40" s="406"/>
      <c r="M40" s="443"/>
      <c r="N40" s="102"/>
      <c r="O40" s="103"/>
      <c r="P40" s="279"/>
      <c r="Q40" s="105"/>
      <c r="R40" s="105"/>
      <c r="S40" s="444"/>
      <c r="T40" s="81"/>
      <c r="U40" s="81"/>
      <c r="V40" s="81"/>
    </row>
    <row r="41" spans="1:22" x14ac:dyDescent="0.2">
      <c r="A41" s="448"/>
      <c r="B41" s="446"/>
      <c r="C41" s="381"/>
      <c r="D41" s="382"/>
      <c r="E41" s="449"/>
      <c r="F41" s="441"/>
      <c r="G41" s="448"/>
      <c r="H41" s="446"/>
      <c r="I41" s="381"/>
      <c r="J41" s="382"/>
      <c r="K41" s="402"/>
      <c r="L41" s="406"/>
      <c r="M41" s="443"/>
      <c r="N41" s="102"/>
      <c r="O41" s="103"/>
      <c r="P41" s="279"/>
      <c r="Q41" s="105"/>
      <c r="R41" s="105"/>
      <c r="S41" s="444"/>
      <c r="T41" s="81"/>
      <c r="U41" s="81"/>
      <c r="V41" s="81"/>
    </row>
    <row r="42" spans="1:22" x14ac:dyDescent="0.2">
      <c r="A42" s="445"/>
      <c r="B42" s="446"/>
      <c r="C42" s="381"/>
      <c r="D42" s="382"/>
      <c r="E42" s="449"/>
      <c r="F42" s="441"/>
      <c r="G42" s="440"/>
      <c r="H42" s="450"/>
      <c r="I42" s="381"/>
      <c r="J42" s="382"/>
      <c r="K42" s="402"/>
      <c r="L42" s="406"/>
      <c r="M42" s="443"/>
      <c r="N42" s="102"/>
      <c r="O42" s="103"/>
      <c r="P42" s="279"/>
      <c r="Q42" s="105"/>
      <c r="R42" s="105"/>
      <c r="S42" s="444"/>
      <c r="T42" s="81"/>
      <c r="U42" s="81"/>
      <c r="V42" s="81"/>
    </row>
    <row r="43" spans="1:22" ht="15.75" thickBot="1" x14ac:dyDescent="0.25">
      <c r="A43" s="451"/>
      <c r="B43" s="452"/>
      <c r="C43" s="453"/>
      <c r="D43" s="454"/>
      <c r="E43" s="455"/>
      <c r="F43" s="441"/>
      <c r="G43" s="445"/>
      <c r="H43" s="450"/>
      <c r="I43" s="381"/>
      <c r="J43" s="382"/>
      <c r="K43" s="402"/>
      <c r="L43" s="406"/>
      <c r="M43" s="443"/>
      <c r="N43" s="456"/>
      <c r="O43" s="457"/>
      <c r="P43" s="458"/>
      <c r="Q43" s="459"/>
      <c r="R43" s="459"/>
      <c r="S43" s="460"/>
      <c r="T43" s="81"/>
      <c r="U43" s="81"/>
      <c r="V43" s="81"/>
    </row>
    <row r="44" spans="1:22" x14ac:dyDescent="0.2">
      <c r="A44" s="81"/>
      <c r="B44" s="81"/>
      <c r="C44" s="250"/>
      <c r="D44" s="81"/>
      <c r="E44" s="81"/>
      <c r="F44" s="81"/>
      <c r="G44" s="393"/>
      <c r="H44" s="385"/>
      <c r="I44" s="400"/>
      <c r="J44" s="386"/>
      <c r="K44" s="387"/>
      <c r="L44" s="407"/>
      <c r="M44" s="174"/>
      <c r="N44" s="81"/>
      <c r="O44" s="123">
        <f>SUM(O26:O43)</f>
        <v>0</v>
      </c>
      <c r="P44" s="81"/>
      <c r="Q44" s="81"/>
      <c r="R44" s="81"/>
      <c r="S44" s="81"/>
      <c r="T44" s="123">
        <f>O44-T31</f>
        <v>0</v>
      </c>
      <c r="U44" s="81"/>
      <c r="V44" s="81"/>
    </row>
    <row r="45" spans="1:22" ht="15.75" thickBot="1" x14ac:dyDescent="0.25">
      <c r="A45" s="81"/>
      <c r="B45" s="109"/>
      <c r="C45" s="250"/>
      <c r="D45" s="81"/>
      <c r="E45" s="81"/>
      <c r="F45" s="81"/>
      <c r="G45" s="394"/>
      <c r="H45" s="395"/>
      <c r="I45" s="408"/>
      <c r="J45" s="396"/>
      <c r="K45" s="401"/>
      <c r="L45" s="397"/>
      <c r="M45" s="81"/>
      <c r="N45" s="81"/>
      <c r="O45" s="81"/>
      <c r="P45" s="81"/>
      <c r="Q45" s="81"/>
      <c r="R45" s="81"/>
      <c r="S45" s="81"/>
      <c r="T45" s="111"/>
      <c r="U45" s="81"/>
      <c r="V45" s="81"/>
    </row>
    <row r="46" spans="1:22" x14ac:dyDescent="0.2">
      <c r="B46" s="44"/>
      <c r="H46" s="44"/>
    </row>
    <row r="48" spans="1:22" x14ac:dyDescent="0.2">
      <c r="B48" s="44"/>
      <c r="H48" s="44">
        <f>SUM(H26:H47)</f>
        <v>0</v>
      </c>
    </row>
    <row r="50" spans="2:10" x14ac:dyDescent="0.2">
      <c r="B50" s="44"/>
      <c r="G50" s="40" t="s">
        <v>27</v>
      </c>
      <c r="H50" s="41">
        <f>H48-O44-H38</f>
        <v>0</v>
      </c>
    </row>
    <row r="52" spans="2:10" x14ac:dyDescent="0.2">
      <c r="J52" s="191">
        <f>H41+H40</f>
        <v>0</v>
      </c>
    </row>
    <row r="55" spans="2:10" x14ac:dyDescent="0.2">
      <c r="B55" s="191"/>
    </row>
  </sheetData>
  <mergeCells count="4">
    <mergeCell ref="O2:P2"/>
    <mergeCell ref="A24:E24"/>
    <mergeCell ref="G24:K24"/>
    <mergeCell ref="N24:R24"/>
  </mergeCells>
  <conditionalFormatting sqref="D2:D16">
    <cfRule type="iconSet" priority="1">
      <iconSet showValue="0">
        <cfvo type="percent" val="0"/>
        <cfvo type="num" val="0" gte="0"/>
        <cfvo type="num" val="2"/>
      </iconSet>
    </cfRule>
    <cfRule type="iconSet" priority="2">
      <iconSet showValue="0">
        <cfvo type="percent" val="0"/>
        <cfvo type="num" val="0"/>
        <cfvo type="num" val="2"/>
      </iconSet>
    </cfRule>
  </conditionalFormatting>
  <dataValidations count="1">
    <dataValidation type="date" allowBlank="1" showInputMessage="1" showErrorMessage="1" sqref="C3:C16" xr:uid="{88D1F156-19DD-ED4F-AEE9-AE279AFEE5CB}">
      <formula1>45658</formula1>
      <formula2>46022</formula2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904A02A9-8DF7-FD4E-B7EE-9EBE47448E2E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TrafficLights1" iconId="1"/>
              <x14:cfIcon iconSet="4RedToBlack" iconId="3"/>
              <x14:cfIcon iconSet="3Symbols" iconId="2"/>
            </x14:iconSet>
          </x14:cfRule>
          <x14:cfRule type="iconSet" priority="4" id="{DE9BBCED-F8AC-8B4C-B4CD-425B177037A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D2:D16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9CE5-19E0-D043-A7D3-A4EE587D3500}">
  <dimension ref="A1:AF50"/>
  <sheetViews>
    <sheetView topLeftCell="A17" zoomScaleNormal="150" zoomScaleSheetLayoutView="100" workbookViewId="0">
      <selection activeCell="E51" sqref="E51"/>
    </sheetView>
  </sheetViews>
  <sheetFormatPr defaultColWidth="8.875" defaultRowHeight="15" x14ac:dyDescent="0.2"/>
  <cols>
    <col min="1" max="1" width="14.125" bestFit="1" customWidth="1"/>
    <col min="2" max="2" width="19.1015625" customWidth="1"/>
    <col min="3" max="3" width="20.71484375" style="152" bestFit="1" customWidth="1"/>
    <col min="4" max="4" width="8.47265625" bestFit="1" customWidth="1"/>
    <col min="5" max="5" width="12.23828125" bestFit="1" customWidth="1"/>
    <col min="6" max="6" width="28.515625" customWidth="1"/>
    <col min="7" max="7" width="15.46875" customWidth="1"/>
    <col min="8" max="8" width="11.56640625" bestFit="1" customWidth="1"/>
    <col min="9" max="9" width="11.97265625" customWidth="1"/>
    <col min="10" max="10" width="8.47265625" bestFit="1" customWidth="1"/>
    <col min="11" max="11" width="10.0859375" bestFit="1" customWidth="1"/>
    <col min="12" max="12" width="11.02734375" bestFit="1" customWidth="1"/>
    <col min="13" max="13" width="8.47265625" bestFit="1" customWidth="1"/>
    <col min="14" max="14" width="14.125" bestFit="1" customWidth="1"/>
    <col min="15" max="15" width="11.296875" bestFit="1" customWidth="1"/>
    <col min="16" max="16" width="13.1796875" customWidth="1"/>
    <col min="17" max="18" width="8.47265625" bestFit="1" customWidth="1"/>
    <col min="19" max="19" width="19.37109375" customWidth="1"/>
    <col min="20" max="20" width="10.0859375" bestFit="1" customWidth="1"/>
    <col min="21" max="21" width="9.4140625" bestFit="1" customWidth="1"/>
    <col min="23" max="23" width="10.625" bestFit="1" customWidth="1"/>
  </cols>
  <sheetData>
    <row r="1" spans="1:22" ht="15.75" thickBot="1" x14ac:dyDescent="0.25">
      <c r="A1" s="354" t="s">
        <v>0</v>
      </c>
      <c r="B1" s="355" t="s">
        <v>1</v>
      </c>
      <c r="C1" s="237" t="s">
        <v>2</v>
      </c>
      <c r="D1" s="243" t="s">
        <v>3</v>
      </c>
      <c r="E1" s="244" t="s">
        <v>4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1"/>
      <c r="T1" s="81"/>
      <c r="U1" s="81"/>
      <c r="V1" s="81"/>
    </row>
    <row r="2" spans="1:22" x14ac:dyDescent="0.2">
      <c r="A2" s="356" t="s">
        <v>35</v>
      </c>
      <c r="B2" s="432">
        <v>500</v>
      </c>
      <c r="C2" s="357"/>
      <c r="D2" s="358">
        <v>2</v>
      </c>
      <c r="E2" s="359"/>
      <c r="F2" s="80"/>
      <c r="G2" s="80"/>
      <c r="H2" s="80"/>
      <c r="I2" s="80"/>
      <c r="J2" s="80"/>
      <c r="K2" s="80"/>
      <c r="L2" s="80"/>
      <c r="M2" s="80"/>
      <c r="N2" s="80"/>
      <c r="O2" s="692" t="s">
        <v>7</v>
      </c>
      <c r="P2" s="693"/>
      <c r="Q2" s="80"/>
      <c r="R2" s="80"/>
      <c r="S2" s="81"/>
      <c r="T2" s="81"/>
      <c r="U2" s="81"/>
      <c r="V2" s="81"/>
    </row>
    <row r="3" spans="1:22" x14ac:dyDescent="0.2">
      <c r="A3" s="82" t="s">
        <v>5</v>
      </c>
      <c r="B3" s="67">
        <v>56</v>
      </c>
      <c r="C3" s="353"/>
      <c r="D3" s="148">
        <v>2</v>
      </c>
      <c r="E3" s="360"/>
      <c r="F3" s="80"/>
      <c r="G3" s="80"/>
      <c r="H3" s="80"/>
      <c r="I3" s="80"/>
      <c r="J3" s="80"/>
      <c r="K3" s="80"/>
      <c r="L3" s="80"/>
      <c r="M3" s="80"/>
      <c r="N3" s="80"/>
      <c r="O3" s="83"/>
      <c r="P3" s="84"/>
      <c r="Q3" s="80"/>
      <c r="R3" s="80"/>
      <c r="S3" s="81"/>
      <c r="T3" s="81"/>
      <c r="U3" s="81"/>
      <c r="V3" s="81"/>
    </row>
    <row r="4" spans="1:22" x14ac:dyDescent="0.2">
      <c r="A4" s="82" t="s">
        <v>9</v>
      </c>
      <c r="B4" s="67">
        <v>1060</v>
      </c>
      <c r="C4" s="353"/>
      <c r="D4" s="197">
        <v>0</v>
      </c>
      <c r="E4" s="360"/>
      <c r="F4" s="80"/>
      <c r="G4" s="80"/>
      <c r="H4" s="80"/>
      <c r="I4" s="80"/>
      <c r="J4" s="80"/>
      <c r="K4" s="80"/>
      <c r="L4" s="278"/>
      <c r="M4" s="80"/>
      <c r="N4" s="80"/>
      <c r="O4" s="85"/>
      <c r="P4" s="86"/>
      <c r="Q4" s="80"/>
      <c r="R4" s="80"/>
      <c r="S4" s="81"/>
      <c r="T4" s="81"/>
      <c r="U4" s="81"/>
      <c r="V4" s="81"/>
    </row>
    <row r="5" spans="1:22" x14ac:dyDescent="0.2">
      <c r="A5" s="82" t="s">
        <v>12</v>
      </c>
      <c r="B5" s="67">
        <v>780</v>
      </c>
      <c r="C5" s="353"/>
      <c r="D5" s="148">
        <v>0</v>
      </c>
      <c r="E5" s="360"/>
      <c r="F5" s="80"/>
      <c r="G5" s="80"/>
      <c r="H5" s="80"/>
      <c r="I5" s="80"/>
      <c r="J5" s="80"/>
      <c r="K5" s="80"/>
      <c r="L5" s="80"/>
      <c r="M5" s="80"/>
      <c r="N5" s="80"/>
      <c r="O5" s="85"/>
      <c r="P5" s="86"/>
      <c r="Q5" s="80"/>
      <c r="R5" s="80"/>
      <c r="S5" s="81"/>
      <c r="T5" s="81"/>
      <c r="U5" s="81"/>
      <c r="V5" s="81"/>
    </row>
    <row r="6" spans="1:22" x14ac:dyDescent="0.2">
      <c r="A6" s="82" t="s">
        <v>17</v>
      </c>
      <c r="B6" s="67">
        <v>1500</v>
      </c>
      <c r="C6" s="353"/>
      <c r="D6" s="148">
        <v>2</v>
      </c>
      <c r="E6" s="360"/>
      <c r="F6" s="80"/>
      <c r="G6" s="80"/>
      <c r="H6" s="80"/>
      <c r="I6" s="80"/>
      <c r="J6" s="80"/>
      <c r="K6" s="80"/>
      <c r="L6" s="80"/>
      <c r="M6" s="80"/>
      <c r="N6" s="80"/>
      <c r="O6" s="85"/>
      <c r="P6" s="86"/>
      <c r="Q6" s="80"/>
      <c r="R6" s="80"/>
      <c r="S6" s="81"/>
      <c r="T6" s="81"/>
      <c r="U6" s="81"/>
      <c r="V6" s="81"/>
    </row>
    <row r="7" spans="1:22" x14ac:dyDescent="0.2">
      <c r="A7" s="82" t="s">
        <v>38</v>
      </c>
      <c r="B7" s="67">
        <v>143</v>
      </c>
      <c r="C7" s="353"/>
      <c r="D7" s="148">
        <v>2</v>
      </c>
      <c r="E7" s="360"/>
      <c r="F7" s="80"/>
      <c r="L7" s="80"/>
      <c r="M7" s="80"/>
      <c r="N7" s="80"/>
      <c r="O7" s="85"/>
      <c r="P7" s="86"/>
      <c r="Q7" s="80"/>
      <c r="R7" s="80"/>
      <c r="S7" s="81"/>
      <c r="T7" s="81"/>
      <c r="U7" s="81"/>
      <c r="V7" s="81"/>
    </row>
    <row r="8" spans="1:22" x14ac:dyDescent="0.2">
      <c r="A8" s="82" t="s">
        <v>19</v>
      </c>
      <c r="B8" s="67">
        <v>400</v>
      </c>
      <c r="C8" s="353"/>
      <c r="D8" s="148">
        <v>2</v>
      </c>
      <c r="E8" s="360"/>
      <c r="F8" s="80"/>
      <c r="L8" s="80"/>
      <c r="M8" s="80"/>
      <c r="N8" s="80"/>
      <c r="O8" s="85"/>
      <c r="P8" s="86"/>
      <c r="Q8" s="80"/>
      <c r="R8" s="80"/>
      <c r="S8" s="81"/>
      <c r="T8" s="81"/>
      <c r="U8" s="81"/>
      <c r="V8" s="81"/>
    </row>
    <row r="9" spans="1:22" x14ac:dyDescent="0.2">
      <c r="A9" s="82" t="s">
        <v>14</v>
      </c>
      <c r="B9" s="67">
        <v>200</v>
      </c>
      <c r="C9" s="353"/>
      <c r="D9" s="148">
        <v>3</v>
      </c>
      <c r="E9" s="360"/>
      <c r="F9" s="80"/>
      <c r="L9" s="80"/>
      <c r="M9" s="80"/>
      <c r="N9" s="80"/>
      <c r="O9" s="85"/>
      <c r="P9" s="86"/>
      <c r="Q9" s="80"/>
      <c r="R9" s="80"/>
      <c r="S9" s="81"/>
      <c r="T9" s="81"/>
      <c r="U9" s="81"/>
      <c r="V9" s="81"/>
    </row>
    <row r="10" spans="1:22" x14ac:dyDescent="0.2">
      <c r="A10" s="82" t="s">
        <v>13</v>
      </c>
      <c r="B10" s="67">
        <v>200</v>
      </c>
      <c r="C10" s="353"/>
      <c r="D10" s="148">
        <v>2</v>
      </c>
      <c r="E10" s="360"/>
      <c r="F10" s="80"/>
      <c r="L10" s="80"/>
      <c r="M10" s="80"/>
      <c r="N10" s="80"/>
      <c r="O10" s="85"/>
      <c r="P10" s="86"/>
      <c r="Q10" s="80"/>
      <c r="R10" s="80"/>
      <c r="S10" s="81"/>
      <c r="T10" s="81"/>
      <c r="U10" s="81"/>
      <c r="V10" s="81"/>
    </row>
    <row r="11" spans="1:22" x14ac:dyDescent="0.2">
      <c r="A11" s="82" t="s">
        <v>8</v>
      </c>
      <c r="B11" s="67">
        <v>350</v>
      </c>
      <c r="C11" s="353"/>
      <c r="D11" s="148">
        <v>2</v>
      </c>
      <c r="E11" s="360"/>
      <c r="F11" s="87"/>
      <c r="L11" s="80"/>
      <c r="M11" s="80"/>
      <c r="N11" s="80"/>
      <c r="O11" s="85"/>
      <c r="P11" s="86"/>
      <c r="Q11" s="80"/>
      <c r="R11" s="80"/>
      <c r="S11" s="81"/>
      <c r="T11" s="81"/>
      <c r="U11" s="81"/>
      <c r="V11" s="81"/>
    </row>
    <row r="12" spans="1:22" x14ac:dyDescent="0.2">
      <c r="A12" s="82" t="s">
        <v>11</v>
      </c>
      <c r="B12" s="67">
        <v>500</v>
      </c>
      <c r="C12" s="353"/>
      <c r="D12" s="148">
        <v>2</v>
      </c>
      <c r="E12" s="360"/>
      <c r="F12" s="80"/>
      <c r="L12" s="80"/>
      <c r="M12" s="80"/>
      <c r="N12" s="80"/>
      <c r="O12" s="85"/>
      <c r="P12" s="86"/>
      <c r="Q12" s="80"/>
      <c r="R12" s="80"/>
      <c r="S12" s="81"/>
      <c r="T12" s="81"/>
      <c r="U12" s="81"/>
      <c r="V12" s="81"/>
    </row>
    <row r="13" spans="1:22" x14ac:dyDescent="0.2">
      <c r="A13" s="82" t="s">
        <v>10</v>
      </c>
      <c r="B13" s="67">
        <v>200</v>
      </c>
      <c r="C13" s="353"/>
      <c r="D13" s="148">
        <v>0</v>
      </c>
      <c r="E13" s="360"/>
      <c r="F13" s="80"/>
      <c r="L13" s="80"/>
      <c r="M13" s="80"/>
      <c r="N13" s="80"/>
      <c r="O13" s="85"/>
      <c r="P13" s="86"/>
      <c r="Q13" s="80"/>
      <c r="R13" s="80"/>
      <c r="S13" s="81"/>
      <c r="T13" s="81"/>
      <c r="U13" s="81"/>
      <c r="V13" s="81"/>
    </row>
    <row r="14" spans="1:22" x14ac:dyDescent="0.2">
      <c r="A14" s="82" t="s">
        <v>18</v>
      </c>
      <c r="B14" s="67">
        <v>1150</v>
      </c>
      <c r="C14" s="353"/>
      <c r="D14" s="148">
        <v>2</v>
      </c>
      <c r="E14" s="360"/>
      <c r="F14" s="80"/>
      <c r="L14" s="80"/>
      <c r="M14" s="80"/>
      <c r="N14" s="80"/>
      <c r="O14" s="85"/>
      <c r="P14" s="86"/>
      <c r="Q14" s="80"/>
      <c r="R14" s="80"/>
      <c r="S14" s="81"/>
      <c r="T14" s="81"/>
      <c r="U14" s="81"/>
      <c r="V14" s="81"/>
    </row>
    <row r="15" spans="1:22" x14ac:dyDescent="0.2">
      <c r="A15" s="82"/>
      <c r="B15" s="67"/>
      <c r="C15" s="353"/>
      <c r="D15" s="197">
        <v>12</v>
      </c>
      <c r="E15" s="360"/>
      <c r="F15" s="80"/>
      <c r="L15" s="80"/>
      <c r="M15" s="80"/>
      <c r="N15" s="80"/>
      <c r="O15" s="85"/>
      <c r="P15" s="86">
        <f>SUM(P3:P14)</f>
        <v>0</v>
      </c>
      <c r="Q15" s="80"/>
      <c r="R15" s="80"/>
      <c r="S15" s="81"/>
      <c r="T15" s="81"/>
      <c r="U15" s="81"/>
      <c r="V15" s="81"/>
    </row>
    <row r="16" spans="1:22" ht="15.75" thickBot="1" x14ac:dyDescent="0.25">
      <c r="A16" s="130"/>
      <c r="B16" s="124"/>
      <c r="C16" s="361"/>
      <c r="D16" s="362">
        <v>3</v>
      </c>
      <c r="E16" s="363"/>
      <c r="F16" s="80"/>
      <c r="G16" s="248"/>
      <c r="L16" s="80"/>
      <c r="M16" s="80"/>
      <c r="N16" s="80"/>
      <c r="O16" s="80"/>
      <c r="P16" s="80"/>
      <c r="Q16" s="80"/>
      <c r="R16" s="80"/>
      <c r="S16" s="81"/>
      <c r="T16" s="81"/>
      <c r="U16" s="81"/>
      <c r="V16" s="81"/>
    </row>
    <row r="17" spans="1:32" x14ac:dyDescent="0.2">
      <c r="A17" s="8"/>
      <c r="B17" s="8"/>
      <c r="C17" s="8"/>
      <c r="E17" s="8"/>
      <c r="F17" s="80"/>
      <c r="L17" s="80"/>
      <c r="M17" s="80"/>
      <c r="N17" s="80"/>
      <c r="O17" s="80"/>
      <c r="P17" s="80"/>
      <c r="Q17" s="80"/>
      <c r="R17" s="80"/>
      <c r="S17" s="81"/>
      <c r="T17" s="81"/>
      <c r="U17" s="81"/>
      <c r="V17" s="81"/>
    </row>
    <row r="18" spans="1:32" x14ac:dyDescent="0.2">
      <c r="A18" s="8"/>
      <c r="B18" s="14">
        <f>SUM(B2:B17)</f>
        <v>7039</v>
      </c>
      <c r="C18" s="8"/>
      <c r="D18" s="143"/>
      <c r="E18" s="14">
        <f>SUM(E2:E17)</f>
        <v>0</v>
      </c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1"/>
      <c r="T18" s="81"/>
      <c r="U18" s="81"/>
      <c r="V18" s="81"/>
    </row>
    <row r="19" spans="1:32" x14ac:dyDescent="0.2">
      <c r="A19" s="8"/>
      <c r="B19" s="8"/>
      <c r="C19" s="8"/>
      <c r="D19" s="143"/>
      <c r="E19" s="8"/>
      <c r="F19" s="115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1"/>
      <c r="T19" s="81"/>
      <c r="U19" s="81"/>
      <c r="V19" s="81"/>
    </row>
    <row r="20" spans="1:32" x14ac:dyDescent="0.2">
      <c r="A20" s="8"/>
      <c r="B20" s="8"/>
      <c r="C20" s="8"/>
      <c r="D20" s="143"/>
      <c r="E20" s="8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1"/>
      <c r="T20" s="81"/>
      <c r="U20" s="81"/>
      <c r="V20" s="81"/>
    </row>
    <row r="21" spans="1:32" x14ac:dyDescent="0.2">
      <c r="A21" s="8"/>
      <c r="B21" s="8"/>
      <c r="C21" s="8"/>
      <c r="D21" s="143"/>
      <c r="E21" s="8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  <c r="T21" s="81"/>
      <c r="U21" s="81"/>
      <c r="V21" s="81"/>
    </row>
    <row r="22" spans="1:32" x14ac:dyDescent="0.2">
      <c r="A22" s="8"/>
      <c r="B22" s="8"/>
      <c r="C22" s="8"/>
      <c r="D22" s="143"/>
      <c r="E22" s="8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1"/>
      <c r="T22" s="81"/>
      <c r="U22" s="81"/>
      <c r="V22" s="81"/>
    </row>
    <row r="23" spans="1:32" ht="15.75" thickBot="1" x14ac:dyDescent="0.25">
      <c r="A23" s="8"/>
      <c r="B23" s="8"/>
      <c r="C23" s="8"/>
      <c r="D23" s="143"/>
      <c r="E23" s="8"/>
      <c r="F23" s="80"/>
      <c r="G23" s="80"/>
      <c r="H23" s="80"/>
      <c r="I23" s="80"/>
      <c r="J23" s="80"/>
      <c r="K23" s="80"/>
      <c r="L23" s="80"/>
      <c r="M23" s="89"/>
      <c r="N23" s="80"/>
      <c r="O23" s="80"/>
      <c r="P23" s="80"/>
      <c r="Q23" s="80"/>
      <c r="R23" s="80"/>
      <c r="S23" s="81"/>
      <c r="T23" s="81"/>
      <c r="U23" s="81"/>
      <c r="V23" s="81"/>
    </row>
    <row r="24" spans="1:32" x14ac:dyDescent="0.2">
      <c r="A24" s="699" t="s">
        <v>30</v>
      </c>
      <c r="B24" s="700"/>
      <c r="C24" s="700"/>
      <c r="D24" s="700"/>
      <c r="E24" s="701"/>
      <c r="F24" s="80"/>
      <c r="G24" s="726" t="s">
        <v>20</v>
      </c>
      <c r="H24" s="727"/>
      <c r="I24" s="727"/>
      <c r="J24" s="727"/>
      <c r="K24" s="728"/>
      <c r="L24" s="412" t="s">
        <v>21</v>
      </c>
      <c r="M24" s="91"/>
      <c r="N24" s="697" t="s">
        <v>22</v>
      </c>
      <c r="O24" s="698"/>
      <c r="P24" s="698"/>
      <c r="Q24" s="698"/>
      <c r="R24" s="698"/>
      <c r="S24" s="92" t="s">
        <v>21</v>
      </c>
      <c r="T24" s="81"/>
      <c r="U24" s="81"/>
      <c r="V24" s="81"/>
      <c r="AD24" s="44"/>
      <c r="AE24" s="44"/>
    </row>
    <row r="25" spans="1:32" x14ac:dyDescent="0.2">
      <c r="A25" s="126" t="s">
        <v>24</v>
      </c>
      <c r="B25" s="125" t="s">
        <v>1</v>
      </c>
      <c r="C25" s="125" t="s">
        <v>2</v>
      </c>
      <c r="D25" s="144" t="s">
        <v>25</v>
      </c>
      <c r="E25" s="127"/>
      <c r="F25" s="80"/>
      <c r="G25" s="413" t="s">
        <v>24</v>
      </c>
      <c r="H25" s="94" t="s">
        <v>1</v>
      </c>
      <c r="I25" s="94" t="s">
        <v>2</v>
      </c>
      <c r="J25" s="94" t="s">
        <v>25</v>
      </c>
      <c r="K25" s="94" t="s">
        <v>3</v>
      </c>
      <c r="L25" s="414"/>
      <c r="M25" s="91"/>
      <c r="N25" s="93" t="s">
        <v>24</v>
      </c>
      <c r="O25" s="94" t="s">
        <v>1</v>
      </c>
      <c r="P25" s="94" t="s">
        <v>2</v>
      </c>
      <c r="Q25" s="94" t="s">
        <v>25</v>
      </c>
      <c r="R25" s="94" t="s">
        <v>6</v>
      </c>
      <c r="S25" s="96"/>
      <c r="T25" s="81"/>
      <c r="U25" s="81"/>
      <c r="V25" s="81"/>
      <c r="AD25" s="44"/>
      <c r="AE25" s="44"/>
    </row>
    <row r="26" spans="1:32" x14ac:dyDescent="0.2">
      <c r="A26" s="433"/>
      <c r="B26" s="213"/>
      <c r="C26" s="280"/>
      <c r="D26" s="203"/>
      <c r="E26" s="336"/>
      <c r="F26" s="80"/>
      <c r="G26" s="439"/>
      <c r="H26" s="213"/>
      <c r="I26" s="280"/>
      <c r="J26" s="203"/>
      <c r="K26" s="105"/>
      <c r="L26" s="415"/>
      <c r="M26" s="91"/>
      <c r="N26" s="333"/>
      <c r="O26" s="334"/>
      <c r="P26" s="279"/>
      <c r="Q26" s="105"/>
      <c r="R26" s="105"/>
      <c r="S26" s="96"/>
      <c r="T26" s="81"/>
      <c r="U26" s="81"/>
      <c r="V26" s="81"/>
      <c r="AD26" s="430"/>
      <c r="AE26" s="430"/>
    </row>
    <row r="27" spans="1:32" x14ac:dyDescent="0.2">
      <c r="A27" s="297"/>
      <c r="B27" s="214"/>
      <c r="C27" s="315"/>
      <c r="D27" s="197"/>
      <c r="E27" s="434"/>
      <c r="F27" s="80"/>
      <c r="G27" s="370"/>
      <c r="H27" s="214"/>
      <c r="I27" s="315"/>
      <c r="J27" s="197"/>
      <c r="K27" s="105"/>
      <c r="L27" s="415"/>
      <c r="M27" s="91"/>
      <c r="N27" s="297"/>
      <c r="O27" s="213"/>
      <c r="P27" s="315"/>
      <c r="Q27" s="352"/>
      <c r="R27" s="105"/>
      <c r="S27" s="96"/>
      <c r="T27" s="81"/>
      <c r="U27" s="81"/>
      <c r="V27" s="81"/>
      <c r="AD27" s="430"/>
      <c r="AE27" s="430"/>
    </row>
    <row r="28" spans="1:32" x14ac:dyDescent="0.2">
      <c r="A28" s="390"/>
      <c r="B28" s="398"/>
      <c r="C28" s="288"/>
      <c r="D28" s="265"/>
      <c r="E28" s="391"/>
      <c r="F28" s="80"/>
      <c r="G28" s="390"/>
      <c r="H28" s="398"/>
      <c r="I28" s="288"/>
      <c r="J28" s="265"/>
      <c r="K28" s="105"/>
      <c r="L28" s="415"/>
      <c r="M28" s="91"/>
      <c r="N28" s="297"/>
      <c r="O28" s="213"/>
      <c r="P28" s="280"/>
      <c r="Q28" s="352"/>
      <c r="R28" s="105"/>
      <c r="S28" s="96"/>
      <c r="T28" s="81"/>
      <c r="U28" s="81"/>
      <c r="V28" s="81"/>
      <c r="AD28" s="44"/>
      <c r="AE28" s="44"/>
    </row>
    <row r="29" spans="1:32" x14ac:dyDescent="0.2">
      <c r="A29" s="390"/>
      <c r="B29" s="398"/>
      <c r="C29" s="288"/>
      <c r="D29" s="265"/>
      <c r="E29" s="391"/>
      <c r="F29" s="80"/>
      <c r="G29" s="390"/>
      <c r="H29" s="398"/>
      <c r="I29" s="288"/>
      <c r="J29" s="265"/>
      <c r="K29" s="105"/>
      <c r="L29" s="415"/>
      <c r="M29" s="91"/>
      <c r="N29" s="297"/>
      <c r="O29" s="213"/>
      <c r="P29" s="280"/>
      <c r="Q29" s="352"/>
      <c r="R29" s="105"/>
      <c r="S29" s="96"/>
      <c r="T29" s="81"/>
      <c r="U29" s="81"/>
      <c r="V29" s="81"/>
      <c r="AD29" s="430"/>
      <c r="AE29" s="430"/>
    </row>
    <row r="30" spans="1:32" x14ac:dyDescent="0.2">
      <c r="A30" s="435"/>
      <c r="B30" s="436"/>
      <c r="C30" s="437"/>
      <c r="D30" s="352"/>
      <c r="E30" s="438"/>
      <c r="F30" s="80"/>
      <c r="G30" s="390"/>
      <c r="H30" s="410"/>
      <c r="I30" s="411"/>
      <c r="J30" s="409"/>
      <c r="K30" s="234"/>
      <c r="L30" s="416"/>
      <c r="M30" s="91"/>
      <c r="N30" s="297"/>
      <c r="O30" s="213"/>
      <c r="P30" s="280"/>
      <c r="Q30" s="105"/>
      <c r="R30" s="105"/>
      <c r="S30" s="108"/>
      <c r="T30" s="109">
        <f>SUM(O26:O28)</f>
        <v>0</v>
      </c>
      <c r="U30" s="81"/>
      <c r="V30" s="81"/>
    </row>
    <row r="31" spans="1:32" ht="16.5" customHeight="1" x14ac:dyDescent="0.2">
      <c r="A31" s="297"/>
      <c r="B31" s="213"/>
      <c r="C31" s="315"/>
      <c r="D31" s="352"/>
      <c r="E31" s="336"/>
      <c r="F31" s="80"/>
      <c r="G31" s="390"/>
      <c r="H31" s="398"/>
      <c r="I31" s="288"/>
      <c r="J31" s="265"/>
      <c r="K31" s="160"/>
      <c r="L31" s="417"/>
      <c r="M31" s="91"/>
      <c r="N31" s="297"/>
      <c r="O31" s="213"/>
      <c r="P31" s="280"/>
      <c r="Q31" s="182"/>
      <c r="R31" s="105"/>
      <c r="S31" s="96"/>
      <c r="T31" s="109"/>
      <c r="U31" s="81"/>
      <c r="V31" s="81"/>
      <c r="AD31" s="44"/>
      <c r="AF31" s="431"/>
    </row>
    <row r="32" spans="1:32" x14ac:dyDescent="0.2">
      <c r="A32" s="297"/>
      <c r="B32" s="213"/>
      <c r="C32" s="280"/>
      <c r="D32" s="352"/>
      <c r="E32" s="336"/>
      <c r="F32" s="91"/>
      <c r="G32" s="297"/>
      <c r="H32" s="213"/>
      <c r="I32" s="315"/>
      <c r="J32" s="352"/>
      <c r="K32" s="160"/>
      <c r="L32" s="417"/>
      <c r="M32" s="91"/>
      <c r="N32" s="297"/>
      <c r="O32" s="213"/>
      <c r="P32" s="280"/>
      <c r="Q32" s="182"/>
      <c r="R32" s="105"/>
      <c r="S32" s="96"/>
      <c r="T32" s="81"/>
      <c r="U32" s="81"/>
      <c r="V32" s="81"/>
    </row>
    <row r="33" spans="1:22" x14ac:dyDescent="0.2">
      <c r="A33" s="297"/>
      <c r="B33" s="213"/>
      <c r="C33" s="280"/>
      <c r="D33" s="352"/>
      <c r="E33" s="336"/>
      <c r="F33" s="199"/>
      <c r="G33" s="297"/>
      <c r="H33" s="213"/>
      <c r="I33" s="280"/>
      <c r="J33" s="352"/>
      <c r="K33" s="160"/>
      <c r="L33" s="417"/>
      <c r="M33" s="91"/>
      <c r="N33" s="102"/>
      <c r="O33" s="103"/>
      <c r="P33" s="279"/>
      <c r="Q33" s="105"/>
      <c r="R33" s="105"/>
      <c r="S33" s="96"/>
      <c r="T33" s="81"/>
      <c r="U33" s="81"/>
      <c r="V33" s="81"/>
    </row>
    <row r="34" spans="1:22" x14ac:dyDescent="0.2">
      <c r="A34" s="297"/>
      <c r="B34" s="213"/>
      <c r="C34" s="280"/>
      <c r="D34" s="352"/>
      <c r="E34" s="336"/>
      <c r="F34" s="91"/>
      <c r="G34" s="297"/>
      <c r="H34" s="213"/>
      <c r="I34" s="280"/>
      <c r="J34" s="203"/>
      <c r="K34" s="160"/>
      <c r="L34" s="417"/>
      <c r="M34" s="91"/>
      <c r="N34" s="102"/>
      <c r="O34" s="103"/>
      <c r="P34" s="279"/>
      <c r="Q34" s="105"/>
      <c r="R34" s="105"/>
      <c r="S34" s="96"/>
      <c r="T34" s="81"/>
      <c r="U34" s="81"/>
      <c r="V34" s="81"/>
    </row>
    <row r="35" spans="1:22" x14ac:dyDescent="0.2">
      <c r="A35" s="297"/>
      <c r="B35" s="213"/>
      <c r="C35" s="280"/>
      <c r="D35" s="182"/>
      <c r="E35" s="336"/>
      <c r="F35" s="91"/>
      <c r="G35" s="297"/>
      <c r="H35" s="213"/>
      <c r="I35" s="280"/>
      <c r="J35" s="182"/>
      <c r="K35" s="160"/>
      <c r="L35" s="417"/>
      <c r="M35" s="91"/>
      <c r="N35" s="102"/>
      <c r="O35" s="103"/>
      <c r="P35" s="279"/>
      <c r="Q35" s="105"/>
      <c r="R35" s="105"/>
      <c r="S35" s="96"/>
      <c r="T35" s="81"/>
      <c r="U35" s="111"/>
      <c r="V35" s="81"/>
    </row>
    <row r="36" spans="1:22" x14ac:dyDescent="0.2">
      <c r="A36" s="297"/>
      <c r="B36" s="213"/>
      <c r="C36" s="280"/>
      <c r="D36" s="182"/>
      <c r="E36" s="336"/>
      <c r="F36" s="91"/>
      <c r="G36" s="297"/>
      <c r="H36" s="213"/>
      <c r="I36" s="280"/>
      <c r="J36" s="182"/>
      <c r="K36" s="160"/>
      <c r="L36" s="417"/>
      <c r="M36" s="91"/>
      <c r="N36" s="102"/>
      <c r="O36" s="103"/>
      <c r="P36" s="279"/>
      <c r="Q36" s="105"/>
      <c r="R36" s="105"/>
      <c r="S36" s="96"/>
      <c r="T36" s="81"/>
      <c r="U36" s="81"/>
      <c r="V36" s="81"/>
    </row>
    <row r="37" spans="1:22" x14ac:dyDescent="0.2">
      <c r="A37" s="196"/>
      <c r="B37" s="213"/>
      <c r="C37" s="159"/>
      <c r="D37" s="203"/>
      <c r="E37" s="146"/>
      <c r="F37" s="80"/>
      <c r="G37" s="297"/>
      <c r="H37" s="213"/>
      <c r="I37" s="280"/>
      <c r="J37" s="228"/>
      <c r="K37" s="85"/>
      <c r="L37" s="417"/>
      <c r="M37" s="91"/>
      <c r="N37" s="102"/>
      <c r="O37" s="103"/>
      <c r="P37" s="279"/>
      <c r="Q37" s="105"/>
      <c r="R37" s="105"/>
      <c r="S37" s="96"/>
      <c r="T37" s="81"/>
      <c r="U37" s="81"/>
      <c r="V37" s="81"/>
    </row>
    <row r="38" spans="1:22" x14ac:dyDescent="0.2">
      <c r="A38" s="128"/>
      <c r="B38" s="215"/>
      <c r="C38" s="107"/>
      <c r="D38" s="204"/>
      <c r="E38" s="146"/>
      <c r="F38" s="80"/>
      <c r="G38" s="370"/>
      <c r="H38" s="213"/>
      <c r="I38" s="280"/>
      <c r="J38" s="228"/>
      <c r="K38" s="85"/>
      <c r="L38" s="417"/>
      <c r="M38" s="91"/>
      <c r="N38" s="102"/>
      <c r="O38" s="103"/>
      <c r="P38" s="279"/>
      <c r="Q38" s="105"/>
      <c r="R38" s="105"/>
      <c r="S38" s="96"/>
      <c r="T38" s="81"/>
      <c r="U38" s="81"/>
      <c r="V38" s="81"/>
    </row>
    <row r="39" spans="1:22" x14ac:dyDescent="0.2">
      <c r="A39" s="128"/>
      <c r="B39" s="216"/>
      <c r="C39" s="107"/>
      <c r="D39" s="204"/>
      <c r="E39" s="146"/>
      <c r="F39" s="80"/>
      <c r="G39" s="370"/>
      <c r="H39" s="213"/>
      <c r="I39" s="280"/>
      <c r="J39" s="228"/>
      <c r="K39" s="85"/>
      <c r="L39" s="417"/>
      <c r="M39" s="91"/>
      <c r="N39" s="102"/>
      <c r="O39" s="103"/>
      <c r="P39" s="279"/>
      <c r="Q39" s="105"/>
      <c r="R39" s="105"/>
      <c r="S39" s="96"/>
      <c r="T39" s="81"/>
      <c r="U39" s="81"/>
      <c r="V39" s="81"/>
    </row>
    <row r="40" spans="1:22" x14ac:dyDescent="0.2">
      <c r="A40" s="163"/>
      <c r="B40" s="217"/>
      <c r="C40" s="165"/>
      <c r="D40" s="205"/>
      <c r="E40" s="146"/>
      <c r="F40" s="80"/>
      <c r="G40" s="372"/>
      <c r="H40" s="215"/>
      <c r="I40" s="281"/>
      <c r="J40" s="229"/>
      <c r="K40" s="85"/>
      <c r="L40" s="417"/>
      <c r="M40" s="91"/>
      <c r="N40" s="114"/>
      <c r="O40" s="112"/>
      <c r="P40" s="286"/>
      <c r="Q40" s="113"/>
      <c r="R40" s="113"/>
      <c r="S40" s="96"/>
      <c r="T40" s="81"/>
      <c r="U40" s="81"/>
      <c r="V40" s="81"/>
    </row>
    <row r="41" spans="1:22" x14ac:dyDescent="0.2">
      <c r="A41" s="178"/>
      <c r="B41" s="218"/>
      <c r="C41" s="161"/>
      <c r="D41" s="206"/>
      <c r="E41" s="167"/>
      <c r="F41" s="80"/>
      <c r="G41" s="372"/>
      <c r="H41" s="216"/>
      <c r="I41" s="281"/>
      <c r="J41" s="229"/>
      <c r="K41" s="85"/>
      <c r="L41" s="417"/>
      <c r="M41" s="91"/>
      <c r="N41" s="114"/>
      <c r="O41" s="112"/>
      <c r="P41" s="286"/>
      <c r="Q41" s="113"/>
      <c r="R41" s="113"/>
      <c r="S41" s="96"/>
      <c r="T41" s="81"/>
      <c r="U41" s="81"/>
      <c r="V41" s="81"/>
    </row>
    <row r="42" spans="1:22" x14ac:dyDescent="0.2">
      <c r="A42" s="200"/>
      <c r="B42" s="219"/>
      <c r="C42" s="201"/>
      <c r="D42" s="207"/>
      <c r="E42" s="202"/>
      <c r="F42" s="80"/>
      <c r="G42" s="418"/>
      <c r="H42" s="217"/>
      <c r="I42" s="282"/>
      <c r="J42" s="230"/>
      <c r="K42" s="85"/>
      <c r="L42" s="417"/>
      <c r="M42" s="91"/>
      <c r="N42" s="114"/>
      <c r="O42" s="112"/>
      <c r="P42" s="286"/>
      <c r="Q42" s="113"/>
      <c r="R42" s="113"/>
      <c r="S42" s="96"/>
      <c r="T42" s="81"/>
      <c r="U42" s="81"/>
      <c r="V42" s="81"/>
    </row>
    <row r="43" spans="1:22" ht="15.75" thickBot="1" x14ac:dyDescent="0.25">
      <c r="A43" s="208"/>
      <c r="B43" s="209"/>
      <c r="C43" s="211"/>
      <c r="D43" s="211"/>
      <c r="E43" s="212"/>
      <c r="F43" s="80"/>
      <c r="G43" s="373"/>
      <c r="H43" s="218"/>
      <c r="I43" s="283"/>
      <c r="J43" s="231"/>
      <c r="K43" s="85"/>
      <c r="L43" s="417"/>
      <c r="M43" s="91"/>
      <c r="N43" s="121"/>
      <c r="O43" s="118"/>
      <c r="P43" s="287"/>
      <c r="Q43" s="119"/>
      <c r="R43" s="119"/>
      <c r="S43" s="122"/>
      <c r="T43" s="81"/>
      <c r="U43" s="81"/>
      <c r="V43" s="81"/>
    </row>
    <row r="44" spans="1:22" x14ac:dyDescent="0.2">
      <c r="A44" s="81"/>
      <c r="B44" s="81"/>
      <c r="C44" s="250"/>
      <c r="D44" s="81"/>
      <c r="E44" s="81"/>
      <c r="F44" s="81"/>
      <c r="G44" s="374"/>
      <c r="H44" s="219"/>
      <c r="I44" s="284"/>
      <c r="J44" s="232"/>
      <c r="K44" s="172"/>
      <c r="L44" s="419"/>
      <c r="M44" s="174"/>
      <c r="N44" s="81"/>
      <c r="O44" s="123">
        <f>SUM(O26:O43)</f>
        <v>0</v>
      </c>
      <c r="P44" s="81"/>
      <c r="Q44" s="81"/>
      <c r="R44" s="81"/>
      <c r="S44" s="81"/>
      <c r="T44" s="123">
        <f>O44-T31</f>
        <v>0</v>
      </c>
      <c r="U44" s="81"/>
      <c r="V44" s="81"/>
    </row>
    <row r="45" spans="1:22" ht="15.75" thickBot="1" x14ac:dyDescent="0.25">
      <c r="A45" s="81"/>
      <c r="B45" s="109"/>
      <c r="C45" s="250"/>
      <c r="D45" s="81"/>
      <c r="E45" s="81"/>
      <c r="F45" s="81"/>
      <c r="G45" s="420"/>
      <c r="H45" s="421"/>
      <c r="I45" s="422"/>
      <c r="J45" s="423"/>
      <c r="K45" s="424"/>
      <c r="L45" s="425"/>
      <c r="M45" s="81"/>
      <c r="N45" s="81"/>
      <c r="O45" s="81"/>
      <c r="P45" s="81"/>
      <c r="Q45" s="81"/>
      <c r="R45" s="81"/>
      <c r="S45" s="81"/>
      <c r="T45" s="111"/>
      <c r="U45" s="81"/>
      <c r="V45" s="81"/>
    </row>
    <row r="46" spans="1:22" x14ac:dyDescent="0.2">
      <c r="B46" s="44">
        <f>SUM(B26:B45)</f>
        <v>0</v>
      </c>
      <c r="H46" s="44"/>
    </row>
    <row r="48" spans="1:22" x14ac:dyDescent="0.2">
      <c r="H48" s="44">
        <f>SUM(H26:H47)</f>
        <v>0</v>
      </c>
    </row>
    <row r="50" spans="7:8" x14ac:dyDescent="0.2">
      <c r="G50" s="40" t="s">
        <v>27</v>
      </c>
      <c r="H50" s="41">
        <f>H48-O44</f>
        <v>0</v>
      </c>
    </row>
  </sheetData>
  <mergeCells count="4">
    <mergeCell ref="O2:P2"/>
    <mergeCell ref="A24:E24"/>
    <mergeCell ref="G24:K24"/>
    <mergeCell ref="N24:R24"/>
  </mergeCells>
  <conditionalFormatting sqref="D2:D16">
    <cfRule type="iconSet" priority="1">
      <iconSet showValue="0">
        <cfvo type="percent" val="0"/>
        <cfvo type="num" val="0" gte="0"/>
        <cfvo type="num" val="2"/>
      </iconSet>
    </cfRule>
    <cfRule type="iconSet" priority="2">
      <iconSet showValue="0">
        <cfvo type="percent" val="0"/>
        <cfvo type="num" val="0"/>
        <cfvo type="num" val="2"/>
      </iconSet>
    </cfRule>
  </conditionalFormatting>
  <dataValidations count="1">
    <dataValidation type="date" allowBlank="1" showInputMessage="1" showErrorMessage="1" sqref="C3:C16" xr:uid="{0C08279E-FF9D-FF4C-A5F3-68CD3B709895}">
      <formula1>45658</formula1>
      <formula2>46022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6A9A0BDB-5140-AF45-89C5-C949A4A826CA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TrafficLights1" iconId="1"/>
              <x14:cfIcon iconSet="4RedToBlack" iconId="3"/>
              <x14:cfIcon iconSet="3Symbols" iconId="2"/>
            </x14:iconSet>
          </x14:cfRule>
          <x14:cfRule type="iconSet" priority="4" id="{317D41E5-96AA-354E-8B01-8A66832A7DE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D2:D16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725B-2CE2-A543-B3AC-3D24FC06B4D9}">
  <dimension ref="A1:F11"/>
  <sheetViews>
    <sheetView zoomScaleNormal="100" zoomScaleSheetLayoutView="100" workbookViewId="0">
      <selection activeCell="B2" sqref="B2"/>
    </sheetView>
  </sheetViews>
  <sheetFormatPr defaultColWidth="8.875" defaultRowHeight="15" x14ac:dyDescent="0.2"/>
  <cols>
    <col min="2" max="2" width="12.375" bestFit="1" customWidth="1"/>
    <col min="5" max="5" width="13.31640625" bestFit="1" customWidth="1"/>
  </cols>
  <sheetData>
    <row r="1" spans="1:6" x14ac:dyDescent="0.2">
      <c r="A1" s="136" t="s">
        <v>41</v>
      </c>
      <c r="B1" s="137" t="s">
        <v>1</v>
      </c>
      <c r="C1" s="138" t="s">
        <v>42</v>
      </c>
    </row>
    <row r="2" spans="1:6" x14ac:dyDescent="0.2">
      <c r="A2" s="128" t="s">
        <v>38</v>
      </c>
      <c r="B2" s="132">
        <v>12054021908</v>
      </c>
      <c r="C2" s="129"/>
      <c r="D2">
        <v>158</v>
      </c>
    </row>
    <row r="3" spans="1:6" x14ac:dyDescent="0.2">
      <c r="A3" s="128" t="s">
        <v>43</v>
      </c>
      <c r="B3" s="132" t="s">
        <v>44</v>
      </c>
      <c r="C3" s="129"/>
      <c r="D3">
        <v>49</v>
      </c>
    </row>
    <row r="4" spans="1:6" x14ac:dyDescent="0.2">
      <c r="A4" s="128" t="s">
        <v>45</v>
      </c>
      <c r="B4" s="132">
        <v>62342288</v>
      </c>
      <c r="C4" s="129"/>
      <c r="D4">
        <v>33</v>
      </c>
    </row>
    <row r="5" spans="1:6" ht="15.75" x14ac:dyDescent="0.2">
      <c r="A5" s="128" t="s">
        <v>31</v>
      </c>
      <c r="B5" s="132">
        <v>13139564010</v>
      </c>
      <c r="C5" s="129"/>
      <c r="E5" s="323">
        <v>11093814918</v>
      </c>
      <c r="F5" t="s">
        <v>58</v>
      </c>
    </row>
    <row r="6" spans="1:6" x14ac:dyDescent="0.2">
      <c r="A6" s="128" t="s">
        <v>46</v>
      </c>
      <c r="B6" s="132">
        <v>5528384696</v>
      </c>
      <c r="C6" s="129"/>
    </row>
    <row r="7" spans="1:6" x14ac:dyDescent="0.2">
      <c r="A7" s="128"/>
      <c r="B7" s="132"/>
      <c r="C7" s="129"/>
    </row>
    <row r="8" spans="1:6" x14ac:dyDescent="0.2">
      <c r="A8" s="128"/>
      <c r="B8" s="132"/>
      <c r="C8" s="129"/>
    </row>
    <row r="9" spans="1:6" x14ac:dyDescent="0.2">
      <c r="A9" s="128"/>
      <c r="B9" s="132"/>
      <c r="C9" s="129"/>
    </row>
    <row r="10" spans="1:6" x14ac:dyDescent="0.2">
      <c r="A10" s="128"/>
      <c r="B10" s="132"/>
      <c r="C10" s="129"/>
    </row>
    <row r="11" spans="1:6" ht="15.75" thickBot="1" x14ac:dyDescent="0.25">
      <c r="A11" s="133"/>
      <c r="B11" s="134"/>
      <c r="C11" s="13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5FFA-2B6C-874B-8B13-2789FAD95DB3}">
  <dimension ref="A1:M29"/>
  <sheetViews>
    <sheetView zoomScaleNormal="150" zoomScaleSheetLayoutView="100" workbookViewId="0">
      <selection activeCell="A42" sqref="A42"/>
    </sheetView>
  </sheetViews>
  <sheetFormatPr defaultColWidth="8.875" defaultRowHeight="15" x14ac:dyDescent="0.2"/>
  <cols>
    <col min="2" max="2" width="11.56640625" style="44" bestFit="1" customWidth="1"/>
    <col min="3" max="3" width="12.375" style="44" customWidth="1"/>
    <col min="4" max="4" width="16.140625" bestFit="1" customWidth="1"/>
    <col min="6" max="6" width="10.89453125" style="152" customWidth="1"/>
    <col min="7" max="7" width="12.9140625" style="152" customWidth="1"/>
    <col min="8" max="8" width="16.54296875" style="191" customWidth="1"/>
    <col min="9" max="9" width="11.296875" bestFit="1" customWidth="1"/>
    <col min="11" max="11" width="11.43359375" bestFit="1" customWidth="1"/>
    <col min="12" max="12" width="9.953125" bestFit="1" customWidth="1"/>
    <col min="13" max="13" width="11.56640625" customWidth="1"/>
  </cols>
  <sheetData>
    <row r="1" spans="1:13" x14ac:dyDescent="0.2">
      <c r="A1" s="45" t="s">
        <v>47</v>
      </c>
      <c r="B1" s="46" t="s">
        <v>48</v>
      </c>
      <c r="C1" s="46" t="s">
        <v>49</v>
      </c>
      <c r="D1" s="45" t="s">
        <v>50</v>
      </c>
      <c r="F1" s="153" t="s">
        <v>51</v>
      </c>
      <c r="G1" s="153" t="s">
        <v>2</v>
      </c>
      <c r="H1" s="187" t="s">
        <v>1</v>
      </c>
      <c r="K1" s="153" t="s">
        <v>51</v>
      </c>
      <c r="L1" s="154" t="s">
        <v>2</v>
      </c>
      <c r="M1" s="154" t="s">
        <v>1</v>
      </c>
    </row>
    <row r="2" spans="1:13" x14ac:dyDescent="0.2">
      <c r="A2" s="42" t="s">
        <v>52</v>
      </c>
      <c r="B2" s="43">
        <v>31</v>
      </c>
      <c r="C2" s="43">
        <v>1051</v>
      </c>
      <c r="D2" s="66" t="s">
        <v>53</v>
      </c>
      <c r="F2" s="148" t="s">
        <v>90</v>
      </c>
      <c r="G2" s="192" t="s">
        <v>91</v>
      </c>
      <c r="H2" s="188">
        <v>10000</v>
      </c>
      <c r="I2" t="s">
        <v>92</v>
      </c>
      <c r="K2" s="197" t="s">
        <v>89</v>
      </c>
      <c r="L2" s="643" t="s">
        <v>94</v>
      </c>
      <c r="M2" s="214">
        <v>500</v>
      </c>
    </row>
    <row r="3" spans="1:13" x14ac:dyDescent="0.2">
      <c r="A3" s="42" t="s">
        <v>54</v>
      </c>
      <c r="B3" s="43">
        <v>13</v>
      </c>
      <c r="C3" s="43">
        <v>771</v>
      </c>
      <c r="D3" s="66" t="s">
        <v>55</v>
      </c>
      <c r="F3" s="148"/>
      <c r="G3" s="192" t="s">
        <v>96</v>
      </c>
      <c r="H3" s="188">
        <v>3500</v>
      </c>
      <c r="I3" t="s">
        <v>93</v>
      </c>
      <c r="K3" s="197" t="s">
        <v>111</v>
      </c>
      <c r="L3" s="643">
        <v>25</v>
      </c>
      <c r="M3" s="214">
        <v>500</v>
      </c>
    </row>
    <row r="4" spans="1:13" x14ac:dyDescent="0.2">
      <c r="A4" s="42" t="s">
        <v>56</v>
      </c>
      <c r="B4" s="43">
        <v>4000</v>
      </c>
      <c r="C4" s="43" t="s">
        <v>13</v>
      </c>
      <c r="D4" s="66"/>
      <c r="F4" s="148"/>
      <c r="G4" s="192"/>
      <c r="H4" s="188"/>
      <c r="K4" s="197" t="s">
        <v>125</v>
      </c>
      <c r="L4" s="643">
        <v>46106</v>
      </c>
      <c r="M4" s="214">
        <v>2000</v>
      </c>
    </row>
    <row r="5" spans="1:13" x14ac:dyDescent="0.2">
      <c r="A5" s="42" t="s">
        <v>56</v>
      </c>
      <c r="B5" s="43">
        <v>2000</v>
      </c>
      <c r="C5" s="43" t="s">
        <v>26</v>
      </c>
      <c r="D5" s="66"/>
      <c r="F5" s="182"/>
      <c r="G5" s="182"/>
      <c r="H5" s="189"/>
      <c r="K5" s="197"/>
      <c r="L5" s="644"/>
      <c r="M5" s="214"/>
    </row>
    <row r="6" spans="1:13" x14ac:dyDescent="0.2">
      <c r="A6" s="42"/>
      <c r="B6" s="43"/>
      <c r="C6" s="43"/>
      <c r="D6" s="66"/>
      <c r="F6" s="148"/>
      <c r="G6" s="193"/>
      <c r="H6" s="188"/>
      <c r="K6" s="197"/>
      <c r="L6" s="643"/>
      <c r="M6" s="214"/>
    </row>
    <row r="7" spans="1:13" x14ac:dyDescent="0.2">
      <c r="A7" s="42"/>
      <c r="B7" s="43"/>
      <c r="C7" s="43"/>
      <c r="D7" s="66"/>
      <c r="F7" s="148"/>
      <c r="G7" s="194"/>
      <c r="H7" s="188"/>
      <c r="K7" s="197"/>
      <c r="L7" s="643"/>
      <c r="M7" s="214"/>
    </row>
    <row r="8" spans="1:13" x14ac:dyDescent="0.2">
      <c r="A8" s="42"/>
      <c r="B8" s="43"/>
      <c r="C8" s="43"/>
      <c r="D8" s="66"/>
      <c r="F8" s="148"/>
      <c r="G8" s="194"/>
      <c r="H8" s="188"/>
      <c r="K8" s="197"/>
      <c r="L8" s="645"/>
      <c r="M8" s="214"/>
    </row>
    <row r="9" spans="1:13" x14ac:dyDescent="0.2">
      <c r="A9" s="42"/>
      <c r="B9" s="43"/>
      <c r="C9" s="43"/>
      <c r="D9" s="66"/>
      <c r="F9" s="183"/>
      <c r="G9" s="195"/>
      <c r="H9" s="190"/>
      <c r="K9" s="197"/>
      <c r="L9" s="644"/>
      <c r="M9" s="214"/>
    </row>
    <row r="10" spans="1:13" x14ac:dyDescent="0.2">
      <c r="A10" s="42"/>
      <c r="B10" s="43"/>
      <c r="C10" s="43"/>
      <c r="D10" s="66"/>
      <c r="F10" s="148"/>
      <c r="G10" s="194"/>
      <c r="H10" s="188"/>
      <c r="K10" s="197"/>
      <c r="L10" s="644"/>
      <c r="M10" s="214"/>
    </row>
    <row r="11" spans="1:13" x14ac:dyDescent="0.2">
      <c r="A11" s="42"/>
      <c r="B11" s="43"/>
      <c r="C11" s="43"/>
      <c r="D11" s="66"/>
      <c r="F11" s="148"/>
      <c r="G11" s="194"/>
      <c r="H11" s="188"/>
      <c r="K11" s="197"/>
      <c r="L11" s="645"/>
      <c r="M11" s="214"/>
    </row>
    <row r="12" spans="1:13" x14ac:dyDescent="0.2">
      <c r="A12" s="42"/>
      <c r="B12" s="43"/>
      <c r="C12" s="43"/>
      <c r="D12" s="66"/>
      <c r="F12" s="148"/>
      <c r="G12" s="194"/>
      <c r="H12" s="188"/>
      <c r="K12" s="197"/>
      <c r="L12" s="644"/>
      <c r="M12" s="214"/>
    </row>
    <row r="13" spans="1:13" x14ac:dyDescent="0.2">
      <c r="A13" s="42"/>
      <c r="B13" s="43"/>
      <c r="C13" s="43"/>
      <c r="D13" s="66"/>
      <c r="F13" s="148"/>
      <c r="G13" s="194"/>
      <c r="H13" s="188"/>
      <c r="K13" s="197"/>
      <c r="L13" s="644"/>
      <c r="M13" s="214"/>
    </row>
    <row r="14" spans="1:13" x14ac:dyDescent="0.2">
      <c r="A14" s="42"/>
      <c r="B14" s="43"/>
      <c r="C14" s="43"/>
      <c r="D14" s="66"/>
      <c r="F14" s="148"/>
      <c r="G14" s="194"/>
      <c r="H14" s="188"/>
      <c r="K14" s="197"/>
      <c r="L14" s="644"/>
      <c r="M14" s="214"/>
    </row>
    <row r="15" spans="1:13" x14ac:dyDescent="0.2">
      <c r="A15" s="42"/>
      <c r="B15" s="43"/>
      <c r="C15" s="43"/>
      <c r="D15" s="66"/>
      <c r="F15" s="148"/>
      <c r="G15" s="194"/>
      <c r="H15" s="188"/>
      <c r="K15" s="197"/>
      <c r="L15" s="644"/>
      <c r="M15" s="214"/>
    </row>
    <row r="16" spans="1:13" x14ac:dyDescent="0.2">
      <c r="A16" s="42"/>
      <c r="B16" s="43"/>
      <c r="C16" s="43"/>
      <c r="D16" s="66"/>
      <c r="F16" s="148"/>
      <c r="G16" s="148"/>
      <c r="H16" s="188"/>
      <c r="K16" s="197"/>
      <c r="L16" s="644"/>
      <c r="M16" s="214"/>
    </row>
    <row r="17" spans="1:13" x14ac:dyDescent="0.2">
      <c r="A17" s="42"/>
      <c r="B17" s="43"/>
      <c r="C17" s="43"/>
      <c r="D17" s="66"/>
      <c r="F17" s="148"/>
      <c r="G17" s="148"/>
      <c r="H17" s="188"/>
      <c r="K17" s="197"/>
      <c r="L17" s="644"/>
      <c r="M17" s="214"/>
    </row>
    <row r="18" spans="1:13" x14ac:dyDescent="0.2">
      <c r="A18" s="42"/>
      <c r="B18" s="43"/>
      <c r="C18" s="43"/>
      <c r="D18" s="66"/>
      <c r="F18" s="148"/>
      <c r="G18" s="148"/>
      <c r="H18" s="188"/>
      <c r="K18" s="197"/>
      <c r="L18" s="644"/>
      <c r="M18" s="214"/>
    </row>
    <row r="19" spans="1:13" x14ac:dyDescent="0.2">
      <c r="A19" s="42"/>
      <c r="B19" s="43"/>
      <c r="C19" s="43"/>
      <c r="D19" s="66"/>
      <c r="F19" s="148"/>
      <c r="G19" s="148"/>
      <c r="H19" s="188"/>
      <c r="K19" s="197"/>
      <c r="L19" s="644"/>
      <c r="M19" s="214"/>
    </row>
    <row r="20" spans="1:13" x14ac:dyDescent="0.2">
      <c r="A20" s="42"/>
      <c r="B20" s="43"/>
      <c r="C20" s="43"/>
      <c r="D20" s="66"/>
      <c r="F20" s="148"/>
      <c r="G20" s="148"/>
      <c r="H20" s="188"/>
      <c r="K20" s="197"/>
      <c r="L20" s="644"/>
      <c r="M20" s="214"/>
    </row>
    <row r="21" spans="1:13" x14ac:dyDescent="0.2">
      <c r="A21" s="42"/>
      <c r="B21" s="43"/>
      <c r="C21" s="43"/>
      <c r="D21" s="66"/>
      <c r="F21" s="148"/>
      <c r="G21" s="148"/>
      <c r="H21" s="188"/>
      <c r="K21" s="197"/>
      <c r="L21" s="644"/>
      <c r="M21" s="214"/>
    </row>
    <row r="22" spans="1:13" x14ac:dyDescent="0.2">
      <c r="F22" s="148"/>
      <c r="G22" s="148"/>
      <c r="H22" s="188"/>
      <c r="K22" s="197"/>
      <c r="L22" s="644"/>
      <c r="M22" s="214"/>
    </row>
    <row r="23" spans="1:13" x14ac:dyDescent="0.2">
      <c r="F23" s="148"/>
      <c r="G23" s="148"/>
      <c r="H23" s="188"/>
      <c r="K23" s="197"/>
      <c r="L23" s="644"/>
      <c r="M23" s="214"/>
    </row>
    <row r="24" spans="1:13" x14ac:dyDescent="0.2">
      <c r="F24" s="148"/>
      <c r="G24" s="148"/>
      <c r="H24" s="188"/>
      <c r="K24" s="197"/>
      <c r="L24" s="644"/>
      <c r="M24" s="463"/>
    </row>
    <row r="25" spans="1:13" x14ac:dyDescent="0.2">
      <c r="F25" s="148"/>
      <c r="G25" s="148"/>
      <c r="H25" s="188"/>
      <c r="K25" s="197"/>
      <c r="L25" s="644"/>
      <c r="M25" s="463"/>
    </row>
    <row r="27" spans="1:13" x14ac:dyDescent="0.2">
      <c r="H27" s="191">
        <f>SUM(H2:H26)</f>
        <v>13500</v>
      </c>
      <c r="M27" s="44">
        <f>SUM(M2:M26)</f>
        <v>3000</v>
      </c>
    </row>
    <row r="29" spans="1:13" x14ac:dyDescent="0.2">
      <c r="H29" s="191" t="s">
        <v>40</v>
      </c>
      <c r="I29" s="44">
        <f>SUM(L29,H3)</f>
        <v>13500</v>
      </c>
      <c r="K29" t="s">
        <v>95</v>
      </c>
      <c r="L29" s="43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SERVICIOS</vt:lpstr>
      <vt:lpstr>DEUDAS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Dairo Romero</dc:creator>
  <cp:keywords/>
  <dc:description/>
  <cp:lastModifiedBy>Dairo Romero</cp:lastModifiedBy>
  <cp:revision/>
  <dcterms:created xsi:type="dcterms:W3CDTF">2025-01-21T01:07:05Z</dcterms:created>
  <dcterms:modified xsi:type="dcterms:W3CDTF">2025-11-25T01:21:09Z</dcterms:modified>
  <cp:category/>
  <cp:contentStatus/>
</cp:coreProperties>
</file>